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.L1715H0609\Desktop\"/>
    </mc:Choice>
  </mc:AlternateContent>
  <bookViews>
    <workbookView xWindow="4875" yWindow="45" windowWidth="19020" windowHeight="8580" firstSheet="3" activeTab="6"/>
  </bookViews>
  <sheets>
    <sheet name="Lab3PartA" sheetId="2" r:id="rId1"/>
    <sheet name="Lab3PartB" sheetId="6" r:id="rId2"/>
    <sheet name="Lab3PartB (2)" sheetId="10" r:id="rId3"/>
    <sheet name="Lab3PartC" sheetId="8" r:id="rId4"/>
    <sheet name="Lab3PartD" sheetId="3" r:id="rId5"/>
    <sheet name="Lab3PartE" sheetId="7" r:id="rId6"/>
    <sheet name="Lab3PartF" sheetId="9" r:id="rId7"/>
    <sheet name="Sheet1" sheetId="11" r:id="rId8"/>
    <sheet name="Sheet2" sheetId="12" r:id="rId9"/>
    <sheet name="Assign3PartA" sheetId="13" r:id="rId10"/>
  </sheets>
  <definedNames>
    <definedName name="results" localSheetId="1">Lab3PartB!$A$2:$J$1190</definedName>
    <definedName name="results" localSheetId="2">'Lab3PartB (2)'!$A$2:$J$1190</definedName>
  </definedNames>
  <calcPr calcId="152511"/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2" i="7"/>
  <c r="E11" i="7" s="1"/>
  <c r="D5" i="8"/>
  <c r="E1191" i="10"/>
  <c r="E1144" i="10"/>
  <c r="E1083" i="10"/>
  <c r="E1074" i="10"/>
  <c r="E1066" i="10"/>
  <c r="E938" i="10"/>
  <c r="E927" i="10"/>
  <c r="E925" i="10"/>
  <c r="E865" i="10"/>
  <c r="E862" i="10"/>
  <c r="E853" i="10"/>
  <c r="E848" i="10"/>
  <c r="E841" i="10"/>
  <c r="E837" i="10"/>
  <c r="E662" i="10"/>
  <c r="E643" i="10"/>
  <c r="E573" i="10"/>
  <c r="E560" i="10"/>
  <c r="E421" i="10"/>
  <c r="E419" i="10"/>
  <c r="E391" i="10"/>
  <c r="E288" i="10"/>
  <c r="E1192" i="10" s="1"/>
  <c r="E1191" i="6"/>
  <c r="E1144" i="6"/>
  <c r="E1083" i="6"/>
  <c r="E1074" i="6"/>
  <c r="E1066" i="6"/>
  <c r="E938" i="6"/>
  <c r="E927" i="6"/>
  <c r="E925" i="6"/>
  <c r="E865" i="6"/>
  <c r="E862" i="6"/>
  <c r="E853" i="6"/>
  <c r="E848" i="6"/>
  <c r="E841" i="6"/>
  <c r="E837" i="6"/>
  <c r="E662" i="6"/>
  <c r="E643" i="6"/>
  <c r="E573" i="6"/>
  <c r="E560" i="6"/>
  <c r="E421" i="6"/>
  <c r="E419" i="6"/>
  <c r="E391" i="6"/>
  <c r="E288" i="6"/>
  <c r="E12" i="7" l="1"/>
  <c r="E13" i="7" s="1"/>
  <c r="E1192" i="6"/>
</calcChain>
</file>

<file path=xl/connections.xml><?xml version="1.0" encoding="utf-8"?>
<connections xmlns="http://schemas.openxmlformats.org/spreadsheetml/2006/main">
  <connection id="1" name="results" type="6" refreshedVersion="3" deleted="1" background="1" saveData="1">
    <textPr codePage="65001" sourceFile="C:\Users\Owner\Desktop\results.csv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<sst xmlns="http://schemas.openxmlformats.org/spreadsheetml/2006/main" count="8466" uniqueCount="1343">
  <si>
    <t>First Name</t>
  </si>
  <si>
    <t>Last Name</t>
  </si>
  <si>
    <t>Elizabeth</t>
  </si>
  <si>
    <t>Tom</t>
  </si>
  <si>
    <t>Bob</t>
  </si>
  <si>
    <t>Jane</t>
  </si>
  <si>
    <t>Cathy</t>
  </si>
  <si>
    <t>Robert</t>
  </si>
  <si>
    <t>Funnigurl</t>
  </si>
  <si>
    <t>Funnigie</t>
  </si>
  <si>
    <t>Laftor</t>
  </si>
  <si>
    <t>Lafter</t>
  </si>
  <si>
    <t>Jacobs</t>
  </si>
  <si>
    <t>Smith</t>
  </si>
  <si>
    <t>Division</t>
  </si>
  <si>
    <t>Marketing</t>
  </si>
  <si>
    <t>Personel</t>
  </si>
  <si>
    <t>Salary</t>
  </si>
  <si>
    <t>Registrar</t>
  </si>
  <si>
    <t>First:</t>
  </si>
  <si>
    <t>Last:</t>
  </si>
  <si>
    <t>Division:</t>
  </si>
  <si>
    <t>Salary:</t>
  </si>
  <si>
    <t>Action</t>
  </si>
  <si>
    <t>Blu-ray</t>
  </si>
  <si>
    <t>DVD</t>
  </si>
  <si>
    <t>Above the Law</t>
  </si>
  <si>
    <t>Alien vs Predator</t>
  </si>
  <si>
    <t>Belly of the Beast</t>
  </si>
  <si>
    <t>Blood Rayne</t>
  </si>
  <si>
    <t>Blood Rayne 2</t>
  </si>
  <si>
    <t>HD-DVD</t>
  </si>
  <si>
    <t>Bourne Identity</t>
  </si>
  <si>
    <t>Serenity</t>
  </si>
  <si>
    <t>Anime</t>
  </si>
  <si>
    <t>Akira</t>
  </si>
  <si>
    <t>Horror</t>
  </si>
  <si>
    <t>28 Days Later</t>
  </si>
  <si>
    <t>28 Weeks Later</t>
  </si>
  <si>
    <t>Army of Darkness</t>
  </si>
  <si>
    <t>Black X-mas</t>
  </si>
  <si>
    <t>Seagal</t>
  </si>
  <si>
    <t>Alternate Beginning</t>
  </si>
  <si>
    <t>unrated/directors cut/With PC game</t>
  </si>
  <si>
    <t>Deliverance</t>
  </si>
  <si>
    <t>Comedy</t>
  </si>
  <si>
    <t>Cannon Ball Run</t>
  </si>
  <si>
    <t>Catwoman</t>
  </si>
  <si>
    <t>Stop-motion</t>
  </si>
  <si>
    <t>Clash of the Titans</t>
  </si>
  <si>
    <t>Cobra</t>
  </si>
  <si>
    <t>Constantine</t>
  </si>
  <si>
    <t>Dead Poets Society</t>
  </si>
  <si>
    <t>VHS</t>
  </si>
  <si>
    <t>Dawn of the Dead</t>
  </si>
  <si>
    <t>Desperado</t>
  </si>
  <si>
    <t>Dead or Alive</t>
  </si>
  <si>
    <t>El Mariachi</t>
  </si>
  <si>
    <t>Special Edition</t>
  </si>
  <si>
    <t>Elecktra</t>
  </si>
  <si>
    <t>Escape from New York</t>
  </si>
  <si>
    <t>Evil Dead</t>
  </si>
  <si>
    <t>The Horror Legacy Series</t>
  </si>
  <si>
    <t>Evil Dead II</t>
  </si>
  <si>
    <t>Exit Wounds</t>
  </si>
  <si>
    <t>Fire Down Below</t>
  </si>
  <si>
    <t>Martial Arts</t>
  </si>
  <si>
    <t>Five Deadly Venoms</t>
  </si>
  <si>
    <t>Flight of Fury</t>
  </si>
  <si>
    <t>Flight of the Living Dead</t>
  </si>
  <si>
    <t>Unrated</t>
  </si>
  <si>
    <t>Foreigner</t>
  </si>
  <si>
    <t>Science Fiction</t>
  </si>
  <si>
    <t>Galaxy Quest</t>
  </si>
  <si>
    <t>Gangs of the Dead</t>
  </si>
  <si>
    <t>Glimmer Man</t>
  </si>
  <si>
    <t>Grudge</t>
  </si>
  <si>
    <t>Grudge 2</t>
  </si>
  <si>
    <t>Half Past Dead</t>
  </si>
  <si>
    <t>Hard to Kill</t>
  </si>
  <si>
    <t>Music/Concert</t>
  </si>
  <si>
    <t>The Jeff Healey Band</t>
  </si>
  <si>
    <t>Live at Montreux</t>
  </si>
  <si>
    <t>T.V. Show</t>
  </si>
  <si>
    <t>The Hitchhikers Guide to the Galaxy</t>
  </si>
  <si>
    <t>British TV Version</t>
  </si>
  <si>
    <t>Hot Fuzz</t>
  </si>
  <si>
    <t>House of 1000 Corpses</t>
  </si>
  <si>
    <t>Johnny Mnemonic</t>
  </si>
  <si>
    <t>Ju-on</t>
  </si>
  <si>
    <t>Ju-on 2</t>
  </si>
  <si>
    <t>Land of the Dead</t>
  </si>
  <si>
    <t>Last Boyscout</t>
  </si>
  <si>
    <t>Drama</t>
  </si>
  <si>
    <t>Last Samurai</t>
  </si>
  <si>
    <t>Last Sentinel</t>
  </si>
  <si>
    <t>Lock, Stock, and Two Smoking Barrels</t>
  </si>
  <si>
    <t>Marked for Death</t>
  </si>
  <si>
    <t>Million Dollar Baby</t>
  </si>
  <si>
    <t>Mr. and Mrs. Smith</t>
  </si>
  <si>
    <t>My Cousin Vinny</t>
  </si>
  <si>
    <t>Night of the Living Dead</t>
  </si>
  <si>
    <t>On Deadly Ground</t>
  </si>
  <si>
    <t>Once Upon a Time in Mexico</t>
  </si>
  <si>
    <t>Ong-Bak</t>
  </si>
  <si>
    <t>The Thai Warrior</t>
  </si>
  <si>
    <t>Out for a Kill</t>
  </si>
  <si>
    <t>Out for Justice</t>
  </si>
  <si>
    <t>Out of Reach</t>
  </si>
  <si>
    <t>Patriot</t>
  </si>
  <si>
    <t>Pirate Movie</t>
  </si>
  <si>
    <t>Pirates of the Caribbean</t>
  </si>
  <si>
    <t>The Curse of the Black Pearl</t>
  </si>
  <si>
    <t>2 Disc</t>
  </si>
  <si>
    <t>Pirates of the Caribbean 2</t>
  </si>
  <si>
    <t>Dead Mans Chest</t>
  </si>
  <si>
    <t>Pirates of the Caribbean 3</t>
  </si>
  <si>
    <t>At Worlds End</t>
  </si>
  <si>
    <t>Pistol Whipped</t>
  </si>
  <si>
    <t>Predator</t>
  </si>
  <si>
    <t>Punch</t>
  </si>
  <si>
    <t>Punisher</t>
  </si>
  <si>
    <t>Resevoir Dogs</t>
  </si>
  <si>
    <t>15th Anniversary</t>
  </si>
  <si>
    <t>Resident Evil</t>
  </si>
  <si>
    <t>Apocolypse</t>
  </si>
  <si>
    <t>Robin Hood</t>
  </si>
  <si>
    <t>Prince of Thieves</t>
  </si>
  <si>
    <t>Rock</t>
  </si>
  <si>
    <t>Running Man</t>
  </si>
  <si>
    <t>S.W.A.T.</t>
  </si>
  <si>
    <t>Scarecrow</t>
  </si>
  <si>
    <t>Slayer</t>
  </si>
  <si>
    <t>Animated</t>
  </si>
  <si>
    <t>Secret of Nimh</t>
  </si>
  <si>
    <t>Shaun of the Dead</t>
  </si>
  <si>
    <t>Smokin Aces</t>
  </si>
  <si>
    <t>Snatch</t>
  </si>
  <si>
    <t>Soylent Green</t>
  </si>
  <si>
    <t>Spaceballs</t>
  </si>
  <si>
    <t>Spider-man</t>
  </si>
  <si>
    <t>Submerged</t>
  </si>
  <si>
    <t>Super Troopers</t>
  </si>
  <si>
    <t>Tango and Cash</t>
  </si>
  <si>
    <t>Three Amigos</t>
  </si>
  <si>
    <t>Malice in the Palace</t>
  </si>
  <si>
    <t>Three Stooges</t>
  </si>
  <si>
    <t>Sing a Song of Six Pants</t>
  </si>
  <si>
    <t>Disorder in the Court</t>
  </si>
  <si>
    <t>Brideless Groom</t>
  </si>
  <si>
    <t>Ticker</t>
  </si>
  <si>
    <t>Tomb Raider</t>
  </si>
  <si>
    <t>Cradle of Life</t>
  </si>
  <si>
    <t>Top Secret</t>
  </si>
  <si>
    <t>Transporter</t>
  </si>
  <si>
    <t>Transporter 2</t>
  </si>
  <si>
    <t>Ultra Violet</t>
  </si>
  <si>
    <t>Under Siege</t>
  </si>
  <si>
    <t>Under Siege 2</t>
  </si>
  <si>
    <t>Underworld</t>
  </si>
  <si>
    <t>Unrated extended cut</t>
  </si>
  <si>
    <t>V for Vendetta</t>
  </si>
  <si>
    <t>Van Helsing</t>
  </si>
  <si>
    <t>At War with the Army</t>
  </si>
  <si>
    <t>Africa Screams</t>
  </si>
  <si>
    <t>Flying Deuces</t>
  </si>
  <si>
    <t>Bionic Woman</t>
  </si>
  <si>
    <t>Season 1</t>
  </si>
  <si>
    <t>Night Evelyn Came out of the Grave</t>
  </si>
  <si>
    <t>The Walking Dead Collection</t>
  </si>
  <si>
    <t>House by the Cemetery</t>
  </si>
  <si>
    <t>Fangs of the Living Dead</t>
  </si>
  <si>
    <t>I Eat Your Skin</t>
  </si>
  <si>
    <t>Last Man on Earth</t>
  </si>
  <si>
    <t>King of the Zombies</t>
  </si>
  <si>
    <t>Thirsty Dead</t>
  </si>
  <si>
    <t>Messiah of Evil</t>
  </si>
  <si>
    <t>Wrestling</t>
  </si>
  <si>
    <t>Judgment Day</t>
  </si>
  <si>
    <t>WWE</t>
  </si>
  <si>
    <t>Royal Rumble</t>
  </si>
  <si>
    <t>No Mercy</t>
  </si>
  <si>
    <t>Unforgiven</t>
  </si>
  <si>
    <t>Summer Slam</t>
  </si>
  <si>
    <t>Rebellion</t>
  </si>
  <si>
    <t>Blood</t>
  </si>
  <si>
    <t>The Last Vampire</t>
  </si>
  <si>
    <t>UMD</t>
  </si>
  <si>
    <t>COMPUTER</t>
  </si>
  <si>
    <t>Dead and Breakfast</t>
  </si>
  <si>
    <t>High Tension</t>
  </si>
  <si>
    <t>Ice Age</t>
  </si>
  <si>
    <t>Perfect Blue</t>
  </si>
  <si>
    <t>Christmas with the Simpsons</t>
  </si>
  <si>
    <t>Monkey Trouble</t>
  </si>
  <si>
    <t>Alice in Wonderland</t>
  </si>
  <si>
    <t>Spy Kids</t>
  </si>
  <si>
    <t>Toontown Big Shots</t>
  </si>
  <si>
    <t>Cartoon collection</t>
  </si>
  <si>
    <t>Hamateur Night</t>
  </si>
  <si>
    <t>Mighty Mouse and Friends</t>
  </si>
  <si>
    <t>Popeyes Greatest Hits</t>
  </si>
  <si>
    <t>Jerky Turkey and Other Cartoon Classics</t>
  </si>
  <si>
    <t>Nursery Rhymes</t>
  </si>
  <si>
    <t>Popeye and Olive Oil</t>
  </si>
  <si>
    <t>Wacky Rabbit and other Cartoon Classics</t>
  </si>
  <si>
    <t>Funny Fiesta</t>
  </si>
  <si>
    <t>The Henpecked Duck and other Cartoon Classics</t>
  </si>
  <si>
    <t>Foney Fables</t>
  </si>
  <si>
    <t>WWF Divas</t>
  </si>
  <si>
    <t>Tropical Pleasure</t>
  </si>
  <si>
    <t>in Hedonism</t>
  </si>
  <si>
    <t>Lipstick and Dynamite</t>
  </si>
  <si>
    <t>The First Ladies of Wrestling</t>
  </si>
  <si>
    <t>Shimmer Women Athletes</t>
  </si>
  <si>
    <t>Volume 2</t>
  </si>
  <si>
    <t>Volume 4</t>
  </si>
  <si>
    <t>Volume 5</t>
  </si>
  <si>
    <t>Womens Extreme Wrestling WEW</t>
  </si>
  <si>
    <t>Volumes 5-8</t>
  </si>
  <si>
    <t>Volumes 9-12</t>
  </si>
  <si>
    <t>Volumes 13-16</t>
  </si>
  <si>
    <t>Trish Stratus</t>
  </si>
  <si>
    <t>100% Stratusfaction Guaranteed</t>
  </si>
  <si>
    <t>WWE Divas</t>
  </si>
  <si>
    <t>South of the Border</t>
  </si>
  <si>
    <t>Survivor Series</t>
  </si>
  <si>
    <t>WWF</t>
  </si>
  <si>
    <t>The Very Best of GLOW</t>
  </si>
  <si>
    <t>Marianation</t>
  </si>
  <si>
    <t>Rudolph The Red-Nosed Reindeer</t>
  </si>
  <si>
    <t>Little Christmas Burro</t>
  </si>
  <si>
    <t>Christmas at Home</t>
  </si>
  <si>
    <t>Jack Frost</t>
  </si>
  <si>
    <t>Santas Pocket Watch</t>
  </si>
  <si>
    <t>Rudolph the Red-Nosed Reindeer</t>
  </si>
  <si>
    <t>The Year Without a Santa Claus</t>
  </si>
  <si>
    <t>Deluxe Edition</t>
  </si>
  <si>
    <t>Small One</t>
  </si>
  <si>
    <t>Classic Holiday Stories</t>
  </si>
  <si>
    <t>Plutos Christmas Tree</t>
  </si>
  <si>
    <t>Mickeys Christmas Carol</t>
  </si>
  <si>
    <t>Santa Claus is Comin to Town</t>
  </si>
  <si>
    <t>Pink Panther</t>
  </si>
  <si>
    <t>Swinging in the Pink</t>
  </si>
  <si>
    <t>Adventures in the Pink</t>
  </si>
  <si>
    <t>Beetle Bailey and Popeye</t>
  </si>
  <si>
    <t>Sunday Morning Funnies</t>
  </si>
  <si>
    <t>Pearl Habour</t>
  </si>
  <si>
    <t>Babylon 5</t>
  </si>
  <si>
    <t>The Complete First Season</t>
  </si>
  <si>
    <t>The Complete Second Season</t>
  </si>
  <si>
    <t>The Complete Third Season</t>
  </si>
  <si>
    <t>The Complete Fourth Season</t>
  </si>
  <si>
    <t>The Complete Fifth Season</t>
  </si>
  <si>
    <t>The Gathering</t>
  </si>
  <si>
    <t>Babylon 5: The Movie Collection</t>
  </si>
  <si>
    <t>In the Beginning</t>
  </si>
  <si>
    <t>Third Space</t>
  </si>
  <si>
    <t>River of Souls</t>
  </si>
  <si>
    <t>A Call to Arms</t>
  </si>
  <si>
    <t>Firefly</t>
  </si>
  <si>
    <t>Buffy The Vampire Slayer</t>
  </si>
  <si>
    <t>Season One</t>
  </si>
  <si>
    <t>Season Two</t>
  </si>
  <si>
    <t>Season Three</t>
  </si>
  <si>
    <t>Season Four</t>
  </si>
  <si>
    <t>Season Five</t>
  </si>
  <si>
    <t>Season Six</t>
  </si>
  <si>
    <t>Season Seven</t>
  </si>
  <si>
    <t>Angel</t>
  </si>
  <si>
    <t>Corner Gas</t>
  </si>
  <si>
    <t>Blue Harvest</t>
  </si>
  <si>
    <t>Family Guy</t>
  </si>
  <si>
    <t>Stewie Griffin: The Untold Story</t>
  </si>
  <si>
    <t>Volume 3</t>
  </si>
  <si>
    <t>Volume 2 Season 3</t>
  </si>
  <si>
    <t>Volume 1 Seasons 1 and 2</t>
  </si>
  <si>
    <t>Fantasy</t>
  </si>
  <si>
    <t>Lord of the Rings</t>
  </si>
  <si>
    <t>Return of the King</t>
  </si>
  <si>
    <t>Two Towers</t>
  </si>
  <si>
    <t>Fellowship of the Ring</t>
  </si>
  <si>
    <t>Terminator</t>
  </si>
  <si>
    <t>Terminator 2</t>
  </si>
  <si>
    <t>Extreme DVD</t>
  </si>
  <si>
    <t>Terminator 3</t>
  </si>
  <si>
    <t>Rise of the Machines</t>
  </si>
  <si>
    <t>Annihilator</t>
  </si>
  <si>
    <t>Ten Years In Hell</t>
  </si>
  <si>
    <t>Matrix</t>
  </si>
  <si>
    <t>Ultimate Matrix Collection</t>
  </si>
  <si>
    <t>Matrix Revisited</t>
  </si>
  <si>
    <t>Roots of the Matrix</t>
  </si>
  <si>
    <t>Matrix Experience</t>
  </si>
  <si>
    <t>Burly Man Chronicles</t>
  </si>
  <si>
    <t>Zion Archive</t>
  </si>
  <si>
    <t>Revolutions</t>
  </si>
  <si>
    <t>Matrix Revolutions Revisited</t>
  </si>
  <si>
    <t>Reloaded</t>
  </si>
  <si>
    <t>Matrix Reloaded Revisited</t>
  </si>
  <si>
    <t>Animatrix</t>
  </si>
  <si>
    <t>Tripping the Rift</t>
  </si>
  <si>
    <t>Present</t>
  </si>
  <si>
    <t xml:space="preserve"> The/Death Make</t>
  </si>
  <si>
    <t>Kazuo Umezz Horror Theater</t>
  </si>
  <si>
    <t>House of BUgs/Diet</t>
  </si>
  <si>
    <t>Snake Girl/The Wish</t>
  </si>
  <si>
    <t>Western</t>
  </si>
  <si>
    <t>Grand Duel</t>
  </si>
  <si>
    <t>Disc 1</t>
  </si>
  <si>
    <t>Classic Spaghetti Westerns</t>
  </si>
  <si>
    <t>This Man Cant Die</t>
  </si>
  <si>
    <t>It Can Be Done Amigo</t>
  </si>
  <si>
    <t>Minnesota Clay</t>
  </si>
  <si>
    <t>Disc 2</t>
  </si>
  <si>
    <t>Johnny Yuma</t>
  </si>
  <si>
    <t>Any Gun Can Play</t>
  </si>
  <si>
    <t>Death Rides a Horse</t>
  </si>
  <si>
    <t>Disc 3</t>
  </si>
  <si>
    <t>Hellbenders</t>
  </si>
  <si>
    <t>White Comanche</t>
  </si>
  <si>
    <t>Wanna Bes</t>
  </si>
  <si>
    <t>Monty Python and the Holy Grail</t>
  </si>
  <si>
    <t>Cyrano de Bergerac</t>
  </si>
  <si>
    <t>C.H.U.D.</t>
  </si>
  <si>
    <t>Hard Bodies</t>
  </si>
  <si>
    <t>Playboy</t>
  </si>
  <si>
    <t>Variable Geo</t>
  </si>
  <si>
    <t>Star Wars</t>
  </si>
  <si>
    <t>Phantom Menace</t>
  </si>
  <si>
    <t>Labyrinth</t>
  </si>
  <si>
    <t>How the Grinch Stole Christmas</t>
  </si>
  <si>
    <t>Schindlers List</t>
  </si>
  <si>
    <t>Titan A.E.</t>
  </si>
  <si>
    <t>A New Hope</t>
  </si>
  <si>
    <t>Star Wars Trilogy</t>
  </si>
  <si>
    <t>Empire Strikes Back</t>
  </si>
  <si>
    <t>Return of the Jedi</t>
  </si>
  <si>
    <t>Blackhawk Down</t>
  </si>
  <si>
    <t>City of Angels</t>
  </si>
  <si>
    <t>Hobbit</t>
  </si>
  <si>
    <t>Ninja Scroll</t>
  </si>
  <si>
    <t>Highlander 2</t>
  </si>
  <si>
    <t>The Quickening</t>
  </si>
  <si>
    <t>Highlander 3</t>
  </si>
  <si>
    <t>Sorcerer</t>
  </si>
  <si>
    <t>Trainspotting</t>
  </si>
  <si>
    <t>V</t>
  </si>
  <si>
    <t>Original Mini-series</t>
  </si>
  <si>
    <t>Final Battle</t>
  </si>
  <si>
    <t xml:space="preserve"> The</t>
  </si>
  <si>
    <t>Wishmaster 4</t>
  </si>
  <si>
    <t>Prophecy Fulfilled</t>
  </si>
  <si>
    <t>Falling Down</t>
  </si>
  <si>
    <t>Men in Black</t>
  </si>
  <si>
    <t>Lady Hawke</t>
  </si>
  <si>
    <t>Aliens</t>
  </si>
  <si>
    <t>Watership Down</t>
  </si>
  <si>
    <t>Porky Pig Tales</t>
  </si>
  <si>
    <t>Carrotblanca</t>
  </si>
  <si>
    <t>Shadow Skill</t>
  </si>
  <si>
    <t>Highlander</t>
  </si>
  <si>
    <t>Little Sho of Horrors</t>
  </si>
  <si>
    <t>Cartoon Explosion</t>
  </si>
  <si>
    <t>Porky Pig</t>
  </si>
  <si>
    <t>Days of Swine and Roses</t>
  </si>
  <si>
    <t>Road Runner and Wile E. Coyote</t>
  </si>
  <si>
    <t>Chariots of Fur</t>
  </si>
  <si>
    <t>Looney Tunes Video Show #1</t>
  </si>
  <si>
    <t>Wishmaster</t>
  </si>
  <si>
    <t>Mad Max</t>
  </si>
  <si>
    <t>Road Warrior</t>
  </si>
  <si>
    <t>2 Days in the Valley</t>
  </si>
  <si>
    <t>Star Trek</t>
  </si>
  <si>
    <t>First Contact</t>
  </si>
  <si>
    <t>Big Wars</t>
  </si>
  <si>
    <t>Marvin the Martian and K9</t>
  </si>
  <si>
    <t>50 Years on Earth</t>
  </si>
  <si>
    <t>Roger Rabbit</t>
  </si>
  <si>
    <t>Mazes and Monsters</t>
  </si>
  <si>
    <t>Red Dawn</t>
  </si>
  <si>
    <t>Princess Bride</t>
  </si>
  <si>
    <t>Rocky Horror Picture Show</t>
  </si>
  <si>
    <t>Breakfast Club</t>
  </si>
  <si>
    <t>Legend</t>
  </si>
  <si>
    <t>Popeye</t>
  </si>
  <si>
    <t>Meets Ali Babas 40 Thieves</t>
  </si>
  <si>
    <t>Helix</t>
  </si>
  <si>
    <t>S.E.X. Rated</t>
  </si>
  <si>
    <t>Corny Concerto</t>
  </si>
  <si>
    <t>Crossroads</t>
  </si>
  <si>
    <t>Beyond Thunderdome</t>
  </si>
  <si>
    <t>Saving Private Ryan</t>
  </si>
  <si>
    <t>Special Limited Edition</t>
  </si>
  <si>
    <t>Sprite</t>
  </si>
  <si>
    <t>Between Two Worlds</t>
  </si>
  <si>
    <t>Crow</t>
  </si>
  <si>
    <t>Lethal Weapon</t>
  </si>
  <si>
    <t>Lethal Weapon 2</t>
  </si>
  <si>
    <t>Lethal Weapon 3</t>
  </si>
  <si>
    <t>Lethal Weapon 4</t>
  </si>
  <si>
    <t>A Nightmare on Elm Street</t>
  </si>
  <si>
    <t>A Nightmare on Elm Street 2</t>
  </si>
  <si>
    <t>Freddys Revenge</t>
  </si>
  <si>
    <t>A Nightmare on Elm Street 3</t>
  </si>
  <si>
    <t>Dream Warriors</t>
  </si>
  <si>
    <t>A Nightmare on Elm Street 4</t>
  </si>
  <si>
    <t>Dream Master</t>
  </si>
  <si>
    <t>A Nightmare on Elm Street 5</t>
  </si>
  <si>
    <t>Dream Child</t>
  </si>
  <si>
    <t>Freddys Dead: The Final Nightmare</t>
  </si>
  <si>
    <t>Wes Cravens New Nightmare</t>
  </si>
  <si>
    <t>Lita</t>
  </si>
  <si>
    <t>Armageddon</t>
  </si>
  <si>
    <t>Sunny</t>
  </si>
  <si>
    <t>Come Get Some</t>
  </si>
  <si>
    <t>Amazons and Gladiators</t>
  </si>
  <si>
    <t>Triple H</t>
  </si>
  <si>
    <t>That Damn Good</t>
  </si>
  <si>
    <t>High Flyers</t>
  </si>
  <si>
    <t>Angel Fist</t>
  </si>
  <si>
    <t>Sable</t>
  </si>
  <si>
    <t>Unleashed</t>
  </si>
  <si>
    <t>Wrestlemania</t>
  </si>
  <si>
    <t>Best of Womens Championship Wrestling</t>
  </si>
  <si>
    <t>WCW</t>
  </si>
  <si>
    <t>Premiere</t>
  </si>
  <si>
    <t>American Womens Wrestling Federation</t>
  </si>
  <si>
    <t>Best of Raw</t>
  </si>
  <si>
    <t>Volume 1</t>
  </si>
  <si>
    <t>Out of Control</t>
  </si>
  <si>
    <t>Super Ladies of Wrestling</t>
  </si>
  <si>
    <t>Around The World</t>
  </si>
  <si>
    <t>Women of the WWF</t>
  </si>
  <si>
    <t>GLOW</t>
  </si>
  <si>
    <t>Cunning Contenders</t>
  </si>
  <si>
    <t>Sports Pages</t>
  </si>
  <si>
    <t>Wrestling Funnies</t>
  </si>
  <si>
    <t>Disney Cartoon</t>
  </si>
  <si>
    <t>Cinderella</t>
  </si>
  <si>
    <t>Pinocchio</t>
  </si>
  <si>
    <t>Hunchback of Notre Dame</t>
  </si>
  <si>
    <t>Tarzan and Jane</t>
  </si>
  <si>
    <t>Old Yeller</t>
  </si>
  <si>
    <t>Disney Movie</t>
  </si>
  <si>
    <t>Fox and the Hound</t>
  </si>
  <si>
    <t>Three Musketeers</t>
  </si>
  <si>
    <t>Black Hole</t>
  </si>
  <si>
    <t>Disney Movie/Anniversay Edition</t>
  </si>
  <si>
    <t>Aladdin</t>
  </si>
  <si>
    <t>Sword in the Stone</t>
  </si>
  <si>
    <t>Anastasia</t>
  </si>
  <si>
    <t>Last Unicorn</t>
  </si>
  <si>
    <t>Transformers</t>
  </si>
  <si>
    <t>The Movie</t>
  </si>
  <si>
    <t>Nightmare Before Christmas</t>
  </si>
  <si>
    <t>Willow</t>
  </si>
  <si>
    <t>Vamp</t>
  </si>
  <si>
    <t>Slant Eyes Slaughter</t>
  </si>
  <si>
    <t>Dark Crystal</t>
  </si>
  <si>
    <t>Jim Henson's</t>
  </si>
  <si>
    <t>Cruel Intentions</t>
  </si>
  <si>
    <t>Ghostbusters</t>
  </si>
  <si>
    <t>Southland Tales</t>
  </si>
  <si>
    <t>Extinction</t>
  </si>
  <si>
    <t>Dead Clowns</t>
  </si>
  <si>
    <t>We All Scream for Ice Cream</t>
  </si>
  <si>
    <t>Evolution</t>
  </si>
  <si>
    <t>Aeon Flux</t>
  </si>
  <si>
    <t>Bandidas</t>
  </si>
  <si>
    <t>Domino</t>
  </si>
  <si>
    <t>Dragon's Lair</t>
  </si>
  <si>
    <t>Video Game</t>
  </si>
  <si>
    <t>Diary of the Dead</t>
  </si>
  <si>
    <t>Alien Apocalypse</t>
  </si>
  <si>
    <t>Spider-man 3</t>
  </si>
  <si>
    <t>Scorpion King</t>
  </si>
  <si>
    <t>Collector's Edition</t>
  </si>
  <si>
    <t>The Good, the bad, and the ugly</t>
  </si>
  <si>
    <t>Day of the Dead</t>
  </si>
  <si>
    <t>Hellboy</t>
  </si>
  <si>
    <t>Director's Cut</t>
  </si>
  <si>
    <t>Stealth</t>
  </si>
  <si>
    <t>With Mini-Game</t>
  </si>
  <si>
    <t>Mask of Zorro</t>
  </si>
  <si>
    <t>Legend of Zorro</t>
  </si>
  <si>
    <t>Freakin Sweet Collection</t>
  </si>
  <si>
    <t>Cannon Ball Run II</t>
  </si>
  <si>
    <t>Exorcism of Emily Rose</t>
  </si>
  <si>
    <t>Big Fish</t>
  </si>
  <si>
    <t>Shoot 'em Up</t>
  </si>
  <si>
    <t>Season 2</t>
  </si>
  <si>
    <t>Season 3</t>
  </si>
  <si>
    <t>Dead Silence</t>
  </si>
  <si>
    <t>Fast and the Furious</t>
  </si>
  <si>
    <t>Tokyo Drift</t>
  </si>
  <si>
    <t>Waist Deep</t>
  </si>
  <si>
    <t>Children of Men</t>
  </si>
  <si>
    <t>Commando</t>
  </si>
  <si>
    <t>Predator 2</t>
  </si>
  <si>
    <t>Rise</t>
  </si>
  <si>
    <t>Hitman</t>
  </si>
  <si>
    <t>Kingdom</t>
  </si>
  <si>
    <t>Into The Sun</t>
  </si>
  <si>
    <t>The Need to Feed</t>
  </si>
  <si>
    <t>Doom</t>
  </si>
  <si>
    <t>Run fatboy run</t>
  </si>
  <si>
    <t>Live Action</t>
  </si>
  <si>
    <t>Death Note</t>
  </si>
  <si>
    <t>Today You Die</t>
  </si>
  <si>
    <t>Harold and kumar</t>
  </si>
  <si>
    <t>Escape from Guantanamo Bay</t>
  </si>
  <si>
    <t>Doomsday</t>
  </si>
  <si>
    <t>Meet the Spartans</t>
  </si>
  <si>
    <t>Requiem</t>
  </si>
  <si>
    <t>Scorpion King 2</t>
  </si>
  <si>
    <t>Kill Switch</t>
  </si>
  <si>
    <t>Season 4</t>
  </si>
  <si>
    <t>Mercenary for Justice</t>
  </si>
  <si>
    <t>Sahara</t>
  </si>
  <si>
    <t>Sleepy Hollow</t>
  </si>
  <si>
    <t>Season 5</t>
  </si>
  <si>
    <t>Zombie Strippers</t>
  </si>
  <si>
    <t>Trailer Park of Terror</t>
  </si>
  <si>
    <t>Documentary</t>
  </si>
  <si>
    <t>Animania</t>
  </si>
  <si>
    <t>Aftermath</t>
  </si>
  <si>
    <t>The World Without Humans</t>
  </si>
  <si>
    <t>Bad Boys</t>
  </si>
  <si>
    <t>Beowulf</t>
  </si>
  <si>
    <t>Bill and Ted's</t>
  </si>
  <si>
    <t>Bogus Journey</t>
  </si>
  <si>
    <t>Excellent Adventure</t>
  </si>
  <si>
    <t>Casino Royale</t>
  </si>
  <si>
    <t>Crank</t>
  </si>
  <si>
    <t>Flushed Away</t>
  </si>
  <si>
    <t>Golden Compass</t>
  </si>
  <si>
    <t>Happy Feet</t>
  </si>
  <si>
    <t>House on Haunted Hill</t>
  </si>
  <si>
    <t>Last King of Sctoland</t>
  </si>
  <si>
    <t>Open Season</t>
  </si>
  <si>
    <t>Running Scared</t>
  </si>
  <si>
    <t>Shake Hands with the Devil</t>
  </si>
  <si>
    <t>The Journey of Romeo Dallaire</t>
  </si>
  <si>
    <t>Sharkwater</t>
  </si>
  <si>
    <t>Snakes on a Plane</t>
  </si>
  <si>
    <t>Stardust</t>
  </si>
  <si>
    <t>Sweeney Todd</t>
  </si>
  <si>
    <t>The Demon Barber of Fleet Street</t>
  </si>
  <si>
    <t>Urban Justice</t>
  </si>
  <si>
    <t>Zombiemania</t>
  </si>
  <si>
    <t>Alien</t>
  </si>
  <si>
    <t>Quadrilogy Collection</t>
  </si>
  <si>
    <t>Resurrection</t>
  </si>
  <si>
    <t>Ressurrection</t>
  </si>
  <si>
    <t>Alien 3000</t>
  </si>
  <si>
    <t>Graveyard Alive</t>
  </si>
  <si>
    <t>A Zombie Nurse in Love</t>
  </si>
  <si>
    <t>Balls of Fury</t>
  </si>
  <si>
    <t>Jaws</t>
  </si>
  <si>
    <t>Jaws 2</t>
  </si>
  <si>
    <t>Jaws 3</t>
  </si>
  <si>
    <t>Jaws 4</t>
  </si>
  <si>
    <t>The Revenge</t>
  </si>
  <si>
    <t>Seven Swords</t>
  </si>
  <si>
    <t>Hunt for Red October</t>
  </si>
  <si>
    <t>Ghostbusters 2</t>
  </si>
  <si>
    <t>From Dusk till Dawn</t>
  </si>
  <si>
    <t>3:10 to Yuma</t>
  </si>
  <si>
    <t>Ferris Bueller's Day Off</t>
  </si>
  <si>
    <t>Godzilla</t>
  </si>
  <si>
    <t>Shadow Man</t>
  </si>
  <si>
    <t>Half Baked</t>
  </si>
  <si>
    <t>Slither</t>
  </si>
  <si>
    <t>Breach</t>
  </si>
  <si>
    <t>3D</t>
  </si>
  <si>
    <t>Faculty</t>
  </si>
  <si>
    <t>Dragon Wars</t>
  </si>
  <si>
    <t>Employee of the Month</t>
  </si>
  <si>
    <t>Ghost Rider</t>
  </si>
  <si>
    <t>Harold and Kumar</t>
  </si>
  <si>
    <t>Go to Whitecastle</t>
  </si>
  <si>
    <t>Gilligan's Island</t>
  </si>
  <si>
    <t>Dukes of Hazzard</t>
  </si>
  <si>
    <t>What's New Pussycat?</t>
  </si>
  <si>
    <t>Peter Sellers: MGM Legends Collection</t>
  </si>
  <si>
    <t>Party</t>
  </si>
  <si>
    <t>Ratatouille</t>
  </si>
  <si>
    <t>Wayne's World</t>
  </si>
  <si>
    <t>Wayne's World 2</t>
  </si>
  <si>
    <t>M.A.S.H.</t>
  </si>
  <si>
    <t>Heartbreak Ridge</t>
  </si>
  <si>
    <t>Dirty Harry</t>
  </si>
  <si>
    <t>Sicko</t>
  </si>
  <si>
    <t>Brewster's Millions</t>
  </si>
  <si>
    <t>Across the Universe</t>
  </si>
  <si>
    <t>Top Gun</t>
  </si>
  <si>
    <t>No Country for Old Men</t>
  </si>
  <si>
    <t>30 Days of Night</t>
  </si>
  <si>
    <t>A Fish Called Wanda</t>
  </si>
  <si>
    <t>Rules of Engagement</t>
  </si>
  <si>
    <t>Dead Men Don't Wear Plaid</t>
  </si>
  <si>
    <t>End of Days</t>
  </si>
  <si>
    <t>Black Snake Moan</t>
  </si>
  <si>
    <t>Any Which Way You Can</t>
  </si>
  <si>
    <t>Every Which Way but Loose</t>
  </si>
  <si>
    <t>Austin Powers</t>
  </si>
  <si>
    <t>International Man of Mystery</t>
  </si>
  <si>
    <t>The Spy Who Shagged Me</t>
  </si>
  <si>
    <t>Missing In Action</t>
  </si>
  <si>
    <t>Missing In Action 2</t>
  </si>
  <si>
    <t>The Beginning</t>
  </si>
  <si>
    <t>Missing In Action 3</t>
  </si>
  <si>
    <t>Braddock</t>
  </si>
  <si>
    <t>Caddyshack</t>
  </si>
  <si>
    <t>Bad Girls</t>
  </si>
  <si>
    <t>Last Man Standing</t>
  </si>
  <si>
    <t>Shooter</t>
  </si>
  <si>
    <t>Road to Perdition</t>
  </si>
  <si>
    <t>Day the Earth Stood Still</t>
  </si>
  <si>
    <t>Undead or Alive</t>
  </si>
  <si>
    <t>Apache Blood</t>
  </si>
  <si>
    <t>Between God the Devil and a Winchester</t>
  </si>
  <si>
    <t>Beyond the Law</t>
  </si>
  <si>
    <t>China 9 Liberty 37</t>
  </si>
  <si>
    <t>Fistful of Lead</t>
  </si>
  <si>
    <t>Fighting Fists of Shanghai Joe</t>
  </si>
  <si>
    <t>Find a Place to Die</t>
  </si>
  <si>
    <t>God's Gun</t>
  </si>
  <si>
    <t>Gunfight at Red Sands</t>
  </si>
  <si>
    <t>Man from Nowhere</t>
  </si>
  <si>
    <t>Sundance and the Kid</t>
  </si>
  <si>
    <t>Trinity and Sartana</t>
  </si>
  <si>
    <t>Twice a Judas</t>
  </si>
  <si>
    <t>As Good As It Gets</t>
  </si>
  <si>
    <t>Deep Blue Sea</t>
  </si>
  <si>
    <t>Silverhawks</t>
  </si>
  <si>
    <t>Taps</t>
  </si>
  <si>
    <t>War</t>
  </si>
  <si>
    <t>Kelly's Heros</t>
  </si>
  <si>
    <t>Harry and the Hendersons</t>
  </si>
  <si>
    <t>Platoon</t>
  </si>
  <si>
    <t>Weird Science</t>
  </si>
  <si>
    <t>Death Wish 2</t>
  </si>
  <si>
    <t>Death Wish 3</t>
  </si>
  <si>
    <t>Death Wish 4</t>
  </si>
  <si>
    <t>Rundown</t>
  </si>
  <si>
    <t>Spider-man 2</t>
  </si>
  <si>
    <t>H20</t>
  </si>
  <si>
    <t>Enemy at the Gate</t>
  </si>
  <si>
    <t>President's Man</t>
  </si>
  <si>
    <t>A Line in the Sand</t>
  </si>
  <si>
    <t>Logan's War</t>
  </si>
  <si>
    <t>Bound By Honour</t>
  </si>
  <si>
    <t>Order</t>
  </si>
  <si>
    <t>Dark Rising</t>
  </si>
  <si>
    <t>Bring Your Battle Axe</t>
  </si>
  <si>
    <t>Cheney Vase</t>
  </si>
  <si>
    <t>Alfred Hitchcock Presents:</t>
  </si>
  <si>
    <t>Alfred Hitchcock: The Legend Begins</t>
  </si>
  <si>
    <t>Socerer's Apprentice</t>
  </si>
  <si>
    <t>Blackmail</t>
  </si>
  <si>
    <t>Champagne</t>
  </si>
  <si>
    <t>Easy Virtue</t>
  </si>
  <si>
    <t>Farmer's Wife</t>
  </si>
  <si>
    <t>Jamaica Inn</t>
  </si>
  <si>
    <t>Juno and the Paycock</t>
  </si>
  <si>
    <t>Lady Vanishes</t>
  </si>
  <si>
    <t>Lodger</t>
  </si>
  <si>
    <t>Man Who Know Too Much</t>
  </si>
  <si>
    <t>Manxman</t>
  </si>
  <si>
    <t>Number Seventeen</t>
  </si>
  <si>
    <t>Rich and Strange</t>
  </si>
  <si>
    <t>Ring</t>
  </si>
  <si>
    <t>Sabotage</t>
  </si>
  <si>
    <t>Secret Agent</t>
  </si>
  <si>
    <t>Skin Game</t>
  </si>
  <si>
    <t>Thurty-Nine Steps</t>
  </si>
  <si>
    <t>Young and Innocent</t>
  </si>
  <si>
    <t>Chained for Life</t>
  </si>
  <si>
    <t>Cult Classics</t>
  </si>
  <si>
    <t>Child Bride</t>
  </si>
  <si>
    <t>Cocaine Fiends</t>
  </si>
  <si>
    <t>Delinquint Daughters</t>
  </si>
  <si>
    <t>Escort Girl</t>
  </si>
  <si>
    <t>Gambling with Souls</t>
  </si>
  <si>
    <t>Joyless Street</t>
  </si>
  <si>
    <t>Mad Youth</t>
  </si>
  <si>
    <t>Marihuana</t>
  </si>
  <si>
    <t>Marijuana Menace</t>
  </si>
  <si>
    <t>Omoo-Omoo</t>
  </si>
  <si>
    <t xml:space="preserve"> The Shark God</t>
  </si>
  <si>
    <t>Reefer Madness</t>
  </si>
  <si>
    <t>Road to Ruin</t>
  </si>
  <si>
    <t>Sex Madness</t>
  </si>
  <si>
    <t>She Shoulda Said No!</t>
  </si>
  <si>
    <t>Slaves in Bondage</t>
  </si>
  <si>
    <t>Ten Nights in a Barroom</t>
  </si>
  <si>
    <t>Terror of Tiny Town</t>
  </si>
  <si>
    <t>Test Tube Babies</t>
  </si>
  <si>
    <t>Wild and the Wicked</t>
  </si>
  <si>
    <t>Moving Violations</t>
  </si>
  <si>
    <t>Hudson Hawk</t>
  </si>
  <si>
    <t>Marksman</t>
  </si>
  <si>
    <t>Attack Force</t>
  </si>
  <si>
    <t>Against the Dark</t>
  </si>
  <si>
    <t>Mission Sanglante</t>
  </si>
  <si>
    <t>Passchendaele</t>
  </si>
  <si>
    <t>Girl</t>
  </si>
  <si>
    <t xml:space="preserve"> Interrupted</t>
  </si>
  <si>
    <t>Net</t>
  </si>
  <si>
    <t>Crocodile Dundee</t>
  </si>
  <si>
    <t>Crocodile Dundee II</t>
  </si>
  <si>
    <t>Mystery</t>
  </si>
  <si>
    <t>Maltese Falcon</t>
  </si>
  <si>
    <t>Cube</t>
  </si>
  <si>
    <t>Scream 3</t>
  </si>
  <si>
    <t>Bee Movie</t>
  </si>
  <si>
    <t>Ruins</t>
  </si>
  <si>
    <t>Scream</t>
  </si>
  <si>
    <t>Scream 2</t>
  </si>
  <si>
    <t>Arctic Tale</t>
  </si>
  <si>
    <t>Frighteners</t>
  </si>
  <si>
    <t>Welcome Back Kotter</t>
  </si>
  <si>
    <t>Rambo</t>
  </si>
  <si>
    <t>First Blood</t>
  </si>
  <si>
    <t>First Blood Part II</t>
  </si>
  <si>
    <t>Rambo III</t>
  </si>
  <si>
    <t>Full Metal Jacket</t>
  </si>
  <si>
    <t>Stripes</t>
  </si>
  <si>
    <t>Canadian Bacon</t>
  </si>
  <si>
    <t>Hang 'Em High</t>
  </si>
  <si>
    <t>XXX</t>
  </si>
  <si>
    <t>Final Fantasy</t>
  </si>
  <si>
    <t>The Spirits Within</t>
  </si>
  <si>
    <t>Starship Troopers</t>
  </si>
  <si>
    <t>Messengers</t>
  </si>
  <si>
    <t>Vacancy</t>
  </si>
  <si>
    <t>Big Hit</t>
  </si>
  <si>
    <t>Fifth Element</t>
  </si>
  <si>
    <t>Dragonheart</t>
  </si>
  <si>
    <t>Reef</t>
  </si>
  <si>
    <t>Blues Brothers</t>
  </si>
  <si>
    <t>Wrestlemaniac</t>
  </si>
  <si>
    <t>Thriller</t>
  </si>
  <si>
    <t>One Hour Photo</t>
  </si>
  <si>
    <t>Fugitive</t>
  </si>
  <si>
    <t>U.S. Marshals</t>
  </si>
  <si>
    <t>Death Note II</t>
  </si>
  <si>
    <t>The Last Name</t>
  </si>
  <si>
    <t>T.V. Edit Movie</t>
  </si>
  <si>
    <t>Devil Ship Pirates</t>
  </si>
  <si>
    <t>Wackiest Ship in the Army</t>
  </si>
  <si>
    <t>Heavy Metal 2000</t>
  </si>
  <si>
    <t>Tokyo Gore Police</t>
  </si>
  <si>
    <t>Seven Guns for the MacGregors</t>
  </si>
  <si>
    <t>Kull</t>
  </si>
  <si>
    <t xml:space="preserve"> The Conqueror</t>
  </si>
  <si>
    <t>Rise of the Lycans</t>
  </si>
  <si>
    <t>Iron Eagle</t>
  </si>
  <si>
    <t>City Slickers</t>
  </si>
  <si>
    <t>Grudge 3</t>
  </si>
  <si>
    <t>Driven to Kill</t>
  </si>
  <si>
    <t>Emergency</t>
  </si>
  <si>
    <t>Airwolf</t>
  </si>
  <si>
    <t>Death Wish</t>
  </si>
  <si>
    <t>Iron Eagle II</t>
  </si>
  <si>
    <t>City Slickers II</t>
  </si>
  <si>
    <t>THe Legend of Curly's Gold</t>
  </si>
  <si>
    <t>Escape from L.A.</t>
  </si>
  <si>
    <t>Day of the Dead 2</t>
  </si>
  <si>
    <t>Contagion</t>
  </si>
  <si>
    <t>Segal</t>
  </si>
  <si>
    <t>A Few Good Men</t>
  </si>
  <si>
    <t>Bad Boys II</t>
  </si>
  <si>
    <t>Opponent</t>
  </si>
  <si>
    <t>Suicide Kings</t>
  </si>
  <si>
    <t>Wagons East</t>
  </si>
  <si>
    <t>Over Her Dead Body</t>
  </si>
  <si>
    <t>Personal Services</t>
  </si>
  <si>
    <t>South Beach Academy</t>
  </si>
  <si>
    <t>Rock 'N' Roll High School</t>
  </si>
  <si>
    <t>Legionnaire</t>
  </si>
  <si>
    <t>Replicant</t>
  </si>
  <si>
    <t>Craft. The</t>
  </si>
  <si>
    <t>Final Fantasy VII</t>
  </si>
  <si>
    <t>Advent Children</t>
  </si>
  <si>
    <t>Beerfest</t>
  </si>
  <si>
    <t>Howard the Duck</t>
  </si>
  <si>
    <t>Delta Farce</t>
  </si>
  <si>
    <t>Condemned</t>
  </si>
  <si>
    <t>Jumon</t>
  </si>
  <si>
    <t>Cursed</t>
  </si>
  <si>
    <t>Paranoia Agent</t>
  </si>
  <si>
    <t>Sakura Wars</t>
  </si>
  <si>
    <t>Hellraiser</t>
  </si>
  <si>
    <t>Lament Configuration Box Set</t>
  </si>
  <si>
    <t>Hellraiser II</t>
  </si>
  <si>
    <t>Hellbound</t>
  </si>
  <si>
    <t>Hellraiser IV</t>
  </si>
  <si>
    <t>Bloodline</t>
  </si>
  <si>
    <t>Hellraiser V</t>
  </si>
  <si>
    <t>Inferno</t>
  </si>
  <si>
    <t>Hellraiser VI</t>
  </si>
  <si>
    <t>Hellseeker</t>
  </si>
  <si>
    <t>I Know What You Did Last Summer</t>
  </si>
  <si>
    <t>The Complete Series</t>
  </si>
  <si>
    <t>L</t>
  </si>
  <si>
    <t>Change the World</t>
  </si>
  <si>
    <t>Big Trouble in Little China</t>
  </si>
  <si>
    <t>Blade</t>
  </si>
  <si>
    <t>Blade II</t>
  </si>
  <si>
    <t>Blade III</t>
  </si>
  <si>
    <t>Trinity</t>
  </si>
  <si>
    <t>Gran Turino</t>
  </si>
  <si>
    <t>Batman</t>
  </si>
  <si>
    <t>Begins</t>
  </si>
  <si>
    <t>Dark Knight</t>
  </si>
  <si>
    <t>Edges of Darkness</t>
  </si>
  <si>
    <t>Transporter 3</t>
  </si>
  <si>
    <t>Wicked Prayer</t>
  </si>
  <si>
    <t>Wanted</t>
  </si>
  <si>
    <t>Death Race</t>
  </si>
  <si>
    <t>War Zone</t>
  </si>
  <si>
    <t>Quarantine</t>
  </si>
  <si>
    <t>Wrestler</t>
  </si>
  <si>
    <t>Freddy vs. Jason</t>
  </si>
  <si>
    <t>Dracula</t>
  </si>
  <si>
    <t>Frankenstein</t>
  </si>
  <si>
    <t>Wolf Man</t>
  </si>
  <si>
    <t>FrankenStein Meets the Wolf Man</t>
  </si>
  <si>
    <t>Abbott and Costello</t>
  </si>
  <si>
    <t>Meet Frankenstein</t>
  </si>
  <si>
    <t>Orca</t>
  </si>
  <si>
    <t>The Fight Continues</t>
  </si>
  <si>
    <t>Blade Runner</t>
  </si>
  <si>
    <t>The Final Cut</t>
  </si>
  <si>
    <t>The Sarah Connor Chronicles: Season 1</t>
  </si>
  <si>
    <t>25th Anniversary Edition</t>
  </si>
  <si>
    <t>Matrix of Leadership Edition</t>
  </si>
  <si>
    <t>Blue Steel</t>
  </si>
  <si>
    <t>Disc 1 John Wayne Western Collection</t>
  </si>
  <si>
    <t>Winds of the Wasteland</t>
  </si>
  <si>
    <t>Dawn Rider</t>
  </si>
  <si>
    <t>Randy Rides Alone</t>
  </si>
  <si>
    <t>Lawless Frontier</t>
  </si>
  <si>
    <t>Paradise Canyon</t>
  </si>
  <si>
    <t>Disc 2 John Wayne Western Collection</t>
  </si>
  <si>
    <t>Sagebrush Trail</t>
  </si>
  <si>
    <t>Star Packer</t>
  </si>
  <si>
    <t>Trail Beyond</t>
  </si>
  <si>
    <t>Man from Utah</t>
  </si>
  <si>
    <t>Mclintock</t>
  </si>
  <si>
    <t>Disc 3 John Wayne Western Collection</t>
  </si>
  <si>
    <t>Angel and the Badman</t>
  </si>
  <si>
    <t>Rainbow Valley</t>
  </si>
  <si>
    <t>Riders of Destiny</t>
  </si>
  <si>
    <t>Lucky Texan</t>
  </si>
  <si>
    <t>Disc 4 John Wayne Western Collection</t>
  </si>
  <si>
    <t>Hell Town</t>
  </si>
  <si>
    <t>Neath the Arizona Skies</t>
  </si>
  <si>
    <t>West of the Divide</t>
  </si>
  <si>
    <t>Desert Trail</t>
  </si>
  <si>
    <t>Texas Terror</t>
  </si>
  <si>
    <t>And God Said to Cain</t>
  </si>
  <si>
    <t>Disc 4 Gunslinger Western Collection</t>
  </si>
  <si>
    <t>Four of the Apocalypse</t>
  </si>
  <si>
    <t>Disc 3 Gunslinger Western Collection</t>
  </si>
  <si>
    <t>Keoma</t>
  </si>
  <si>
    <t>Blindman</t>
  </si>
  <si>
    <t>Disc 2 Gunslinger Western Collection</t>
  </si>
  <si>
    <t>I am Sartana</t>
  </si>
  <si>
    <t>Trade Your Guns for a Coffin</t>
  </si>
  <si>
    <t>Strangers Gundown</t>
  </si>
  <si>
    <t>Run Man Run</t>
  </si>
  <si>
    <t>Disc 1 Gunslinger Western Collection</t>
  </si>
  <si>
    <t>If you meet Sartana</t>
  </si>
  <si>
    <t>Pray for your Death</t>
  </si>
  <si>
    <t>Buffy</t>
  </si>
  <si>
    <t>The Vampire Slayer</t>
  </si>
  <si>
    <t>Eight Legges Freaks</t>
  </si>
  <si>
    <t>Caddyshack II</t>
  </si>
  <si>
    <t>Fearless</t>
  </si>
  <si>
    <t>Wrong Turn</t>
  </si>
  <si>
    <t>Walk the Line</t>
  </si>
  <si>
    <t>Stick It</t>
  </si>
  <si>
    <t>Chronicles of Narnia</t>
  </si>
  <si>
    <t>Something, something, something dark Side</t>
  </si>
  <si>
    <t>Defenders of the Earth</t>
  </si>
  <si>
    <t>Inu Yasha</t>
  </si>
  <si>
    <t>Volume 6</t>
  </si>
  <si>
    <t>Volume 7</t>
  </si>
  <si>
    <t>Dexter</t>
  </si>
  <si>
    <t>The First Season</t>
  </si>
  <si>
    <t>The Second Season</t>
  </si>
  <si>
    <t>Season 6</t>
  </si>
  <si>
    <t>Season 7</t>
  </si>
  <si>
    <t>Season 8</t>
  </si>
  <si>
    <t>Season 9</t>
  </si>
  <si>
    <t>Season 10</t>
  </si>
  <si>
    <t>Season 11</t>
  </si>
  <si>
    <t>The Sarah Connor Chronicles: Season 2</t>
  </si>
  <si>
    <t>Knight Rider</t>
  </si>
  <si>
    <t>Salvation</t>
  </si>
  <si>
    <t>Hurt Locker</t>
  </si>
  <si>
    <t>Undergrads</t>
  </si>
  <si>
    <t>Freshman Season</t>
  </si>
  <si>
    <t>A Plumbing We Will Go</t>
  </si>
  <si>
    <t>Curly Classics - 3 Stooges Collection</t>
  </si>
  <si>
    <t>Micro-Phonies</t>
  </si>
  <si>
    <t>Three Little Pigskins</t>
  </si>
  <si>
    <t>Punch Drunks</t>
  </si>
  <si>
    <t>Woman Haters</t>
  </si>
  <si>
    <t>Spook Louder</t>
  </si>
  <si>
    <t>Spook Louder - 3 Stooges Collection</t>
  </si>
  <si>
    <t>Shivering Sherlocks</t>
  </si>
  <si>
    <t>Hokus Pokus</t>
  </si>
  <si>
    <t>Mummy Dummies</t>
  </si>
  <si>
    <t>Ghost Talks</t>
  </si>
  <si>
    <t>Fright Night</t>
  </si>
  <si>
    <t>Grips, grunts and groans</t>
  </si>
  <si>
    <t>All the World's a Stooge - 3 Stooges Collection</t>
  </si>
  <si>
    <t>All the World's a Stooge</t>
  </si>
  <si>
    <t>3 Dumb Clucks</t>
  </si>
  <si>
    <t>Three Little Pirates</t>
  </si>
  <si>
    <t>Uncivil Warbirds</t>
  </si>
  <si>
    <t>Back to the Woods</t>
  </si>
  <si>
    <t>Violent Is the Word for Curly</t>
  </si>
  <si>
    <t>Ichi</t>
  </si>
  <si>
    <t>Keeper</t>
  </si>
  <si>
    <t>Tunnel Rats</t>
  </si>
  <si>
    <t>Hell is for Heros</t>
  </si>
  <si>
    <t>Anti-Terrorist Cell</t>
  </si>
  <si>
    <t>Manhunt</t>
  </si>
  <si>
    <t>Seven</t>
  </si>
  <si>
    <t>Dark Water</t>
  </si>
  <si>
    <t>Madlax</t>
  </si>
  <si>
    <t>Vol. 1</t>
  </si>
  <si>
    <t>Eps. 1-4</t>
  </si>
  <si>
    <t>Angelic Layer</t>
  </si>
  <si>
    <t>Divine Inspiration</t>
  </si>
  <si>
    <t>Vol. 2</t>
  </si>
  <si>
    <t>Eps. 5-8</t>
  </si>
  <si>
    <t>Rave Master</t>
  </si>
  <si>
    <t>Robocop</t>
  </si>
  <si>
    <t>Navy Seals</t>
  </si>
  <si>
    <t>Mickey and the Beanstalk</t>
  </si>
  <si>
    <t>Classic Short Films Vol. 1</t>
  </si>
  <si>
    <t>Three Little Pigs</t>
  </si>
  <si>
    <t>Classic Short Films Vol. 2</t>
  </si>
  <si>
    <t>Last of the Living</t>
  </si>
  <si>
    <t>Hostage</t>
  </si>
  <si>
    <t>Sin City</t>
  </si>
  <si>
    <t>First Easter Rabbit</t>
  </si>
  <si>
    <t>Spirit</t>
  </si>
  <si>
    <t>Obsessed</t>
  </si>
  <si>
    <t>A Dangerous Man</t>
  </si>
  <si>
    <t>Black Dawn</t>
  </si>
  <si>
    <t>Child's Play 2</t>
  </si>
  <si>
    <t>Chucky</t>
  </si>
  <si>
    <t>Child's Play 3</t>
  </si>
  <si>
    <t>Bride of Chucky</t>
  </si>
  <si>
    <t>Seed of Chucky</t>
  </si>
  <si>
    <t>World's Biggest and Baddest Bugs</t>
  </si>
  <si>
    <t>Beauty of Snakes</t>
  </si>
  <si>
    <t>Child's Play</t>
  </si>
  <si>
    <t>Darkwing Duck</t>
  </si>
  <si>
    <t>Rojer Ramjet</t>
  </si>
  <si>
    <t>Hero of our Nation</t>
  </si>
  <si>
    <t>Gamer</t>
  </si>
  <si>
    <t>Greatest American Hero</t>
  </si>
  <si>
    <t>Complete Series</t>
  </si>
  <si>
    <t>Jennifer's Body</t>
  </si>
  <si>
    <t>X-Men</t>
  </si>
  <si>
    <t>X-1</t>
  </si>
  <si>
    <t>United</t>
  </si>
  <si>
    <t>X-2</t>
  </si>
  <si>
    <t>Last Stand</t>
  </si>
  <si>
    <t>X-3</t>
  </si>
  <si>
    <t>X-Men Origins</t>
  </si>
  <si>
    <t>Wolverine</t>
  </si>
  <si>
    <t>Bret Hart</t>
  </si>
  <si>
    <t>The Best...</t>
  </si>
  <si>
    <t>Eddie Murphy</t>
  </si>
  <si>
    <t>Raw</t>
  </si>
  <si>
    <t>Emperor's New Groove</t>
  </si>
  <si>
    <t>Eagle Eye</t>
  </si>
  <si>
    <t>Hellboy II</t>
  </si>
  <si>
    <t>Golden Army</t>
  </si>
  <si>
    <t>Mummy</t>
  </si>
  <si>
    <t>Tomb of the Dragon Emperor</t>
  </si>
  <si>
    <t>Universal Soldier</t>
  </si>
  <si>
    <t>Regeneration</t>
  </si>
  <si>
    <t>Wall-E</t>
  </si>
  <si>
    <t>Attack of the 50ft Woman</t>
  </si>
  <si>
    <t>Cloudy with a chance of Meatballs</t>
  </si>
  <si>
    <t>Damage</t>
  </si>
  <si>
    <t>Year One</t>
  </si>
  <si>
    <t>Taking of Pelham 123</t>
  </si>
  <si>
    <t>Last Action Hero</t>
  </si>
  <si>
    <t>Planet 51</t>
  </si>
  <si>
    <t>Miracle at St. Anna</t>
  </si>
  <si>
    <t>Walled In</t>
  </si>
  <si>
    <t>Duckman</t>
  </si>
  <si>
    <t>Season 1 and 2</t>
  </si>
  <si>
    <t>Fire Birds</t>
  </si>
  <si>
    <t>Capitalism</t>
  </si>
  <si>
    <t>A Love Story</t>
  </si>
  <si>
    <t>Ginger Snaps</t>
  </si>
  <si>
    <t>Whiteout</t>
  </si>
  <si>
    <t>Igor</t>
  </si>
  <si>
    <t>Incredible Hulk</t>
  </si>
  <si>
    <t>Strangers</t>
  </si>
  <si>
    <t>Did you hear about the Morgans</t>
  </si>
  <si>
    <t>This is Spinal Tap</t>
  </si>
  <si>
    <t>Black Dynamite</t>
  </si>
  <si>
    <t>Friday the 13th</t>
  </si>
  <si>
    <t>Get Smart</t>
  </si>
  <si>
    <t>Ghost's of Mars</t>
  </si>
  <si>
    <t>John Carpenter's</t>
  </si>
  <si>
    <t>Defiance</t>
  </si>
  <si>
    <t>Astro Boy</t>
  </si>
  <si>
    <t>War of the Worlds</t>
  </si>
  <si>
    <t>Vacation</t>
  </si>
  <si>
    <t>National Lampoon's</t>
  </si>
  <si>
    <t>European Vacation</t>
  </si>
  <si>
    <t>Vegas Vacation</t>
  </si>
  <si>
    <t>Coogan's Bluff</t>
  </si>
  <si>
    <t>Prince Caspian</t>
  </si>
  <si>
    <t>Collateral Damage</t>
  </si>
  <si>
    <t>Blue Thunder</t>
  </si>
  <si>
    <t>Ong Bak 2</t>
  </si>
  <si>
    <t>Drag Me To Hell</t>
  </si>
  <si>
    <t>Tournament</t>
  </si>
  <si>
    <t>Carriers</t>
  </si>
  <si>
    <t>Ginger Snaps III</t>
  </si>
  <si>
    <t>Ninja</t>
  </si>
  <si>
    <t>District 9</t>
  </si>
  <si>
    <t>Surrogates</t>
  </si>
  <si>
    <t>Crank 2</t>
  </si>
  <si>
    <t>High Voltage</t>
  </si>
  <si>
    <t>Eye</t>
  </si>
  <si>
    <t>Armoured</t>
  </si>
  <si>
    <t>Men Who Stares at Goats</t>
  </si>
  <si>
    <t>Returns</t>
  </si>
  <si>
    <t>Naked Gun</t>
  </si>
  <si>
    <t>From the Files of Police Squad</t>
  </si>
  <si>
    <t>Naked Gun 2 1/2</t>
  </si>
  <si>
    <t>Naked Gun 33 1/3</t>
  </si>
  <si>
    <t>The Final Insult</t>
  </si>
  <si>
    <t>Animal House</t>
  </si>
  <si>
    <t>Tale of Despereaux</t>
  </si>
  <si>
    <t>Time Traveler's Wife</t>
  </si>
  <si>
    <t>Hancock</t>
  </si>
  <si>
    <t>Brothers</t>
  </si>
  <si>
    <t>Survival of the Dead</t>
  </si>
  <si>
    <t>Crusade</t>
  </si>
  <si>
    <t>Box</t>
  </si>
  <si>
    <t>Inkheart</t>
  </si>
  <si>
    <t>Jeepers Creepers</t>
  </si>
  <si>
    <t>Jeepers Creepers 2</t>
  </si>
  <si>
    <t>Lost Boys</t>
  </si>
  <si>
    <t>The Good, The Bad, the Weird</t>
  </si>
  <si>
    <t>Casablanca</t>
  </si>
  <si>
    <t>Fourth Kind</t>
  </si>
  <si>
    <t>Old Dogs</t>
  </si>
  <si>
    <t>Unstable Fables</t>
  </si>
  <si>
    <t>Goldilocks and Three Bears Show</t>
  </si>
  <si>
    <t>Happy Gilmore</t>
  </si>
  <si>
    <t>Haunting of Molly Hartley</t>
  </si>
  <si>
    <t>Universal Soldier II</t>
  </si>
  <si>
    <t>Brothers in Arms</t>
  </si>
  <si>
    <t>Universal Soldier III</t>
  </si>
  <si>
    <t>Unfinished Business</t>
  </si>
  <si>
    <t>The Return</t>
  </si>
  <si>
    <t>D.E.B.S.</t>
  </si>
  <si>
    <t>Where the Wild Things Are</t>
  </si>
  <si>
    <t>Ponyo</t>
  </si>
  <si>
    <t>Prince of Persia</t>
  </si>
  <si>
    <t>The Sands of Time</t>
  </si>
  <si>
    <t>Book of Eli</t>
  </si>
  <si>
    <t>Poltergeist</t>
  </si>
  <si>
    <t>Exorcist</t>
  </si>
  <si>
    <t>Gremlins</t>
  </si>
  <si>
    <t>Hellraiser VII</t>
  </si>
  <si>
    <t>Deader</t>
  </si>
  <si>
    <t>Clay-mation</t>
  </si>
  <si>
    <t>Coraline</t>
  </si>
  <si>
    <t>G.I. Joe</t>
  </si>
  <si>
    <t>The Rise of Cobra</t>
  </si>
  <si>
    <t>G-Force</t>
  </si>
  <si>
    <t>Orphan</t>
  </si>
  <si>
    <t>The Motion Picture</t>
  </si>
  <si>
    <t>Up</t>
  </si>
  <si>
    <t>Zombie-Girl</t>
  </si>
  <si>
    <t>Jetsons</t>
  </si>
  <si>
    <t>Critters</t>
  </si>
  <si>
    <t>Critters 2</t>
  </si>
  <si>
    <t>The Main Course</t>
  </si>
  <si>
    <t>Last Star Fighter</t>
  </si>
  <si>
    <t>A Charlie Brown Christmas</t>
  </si>
  <si>
    <t>'Twas the Night Before Christmas</t>
  </si>
  <si>
    <t>Samurai Princess</t>
  </si>
  <si>
    <t>Geisha Assassin</t>
  </si>
  <si>
    <t>Cavalcade of Cartoon Comedy</t>
  </si>
  <si>
    <t>Uncensored</t>
  </si>
  <si>
    <t>He-Man and the Masters of the Universe</t>
  </si>
  <si>
    <t>The Best of</t>
  </si>
  <si>
    <t>Village of the Damned</t>
  </si>
  <si>
    <t>Goblin</t>
  </si>
  <si>
    <t>Road</t>
  </si>
  <si>
    <t>Rush</t>
  </si>
  <si>
    <t>Beyond the Lighted Stage</t>
  </si>
  <si>
    <t>Revenge of the Fallen</t>
  </si>
  <si>
    <t>Hertbreakers</t>
  </si>
  <si>
    <t>Kick Ass</t>
  </si>
  <si>
    <t>Push</t>
  </si>
  <si>
    <t>Wizard of Oz</t>
  </si>
  <si>
    <t>Christmas Vacation</t>
  </si>
  <si>
    <t>Without a Paddle</t>
  </si>
  <si>
    <t>Gremlins 2</t>
  </si>
  <si>
    <t>The New Brood</t>
  </si>
  <si>
    <t>Once Upon a Time in the West</t>
  </si>
  <si>
    <t>Tron</t>
  </si>
  <si>
    <t>CHiPs</t>
  </si>
  <si>
    <t>Dollhouse</t>
  </si>
  <si>
    <t>Madagascar</t>
  </si>
  <si>
    <t>Escape 2 Africa</t>
  </si>
  <si>
    <t>It's a Trap!</t>
  </si>
  <si>
    <t>How to Train Your Dragon</t>
  </si>
  <si>
    <t>Legend of the Boneknapper Dragon</t>
  </si>
  <si>
    <t>Last Air Bender</t>
  </si>
  <si>
    <t>Dinosaurs</t>
  </si>
  <si>
    <t>Season 3 and 4</t>
  </si>
  <si>
    <t>She-Ra Princess of Power</t>
  </si>
  <si>
    <t>Season 1 Part 1</t>
  </si>
  <si>
    <t>Season 1 Part 2</t>
  </si>
  <si>
    <t>Woody Woodpecker and Friends</t>
  </si>
  <si>
    <t>Classic Cartoon Collection</t>
  </si>
  <si>
    <t>Tom and Jerry</t>
  </si>
  <si>
    <t>Paws for the Holiday</t>
  </si>
  <si>
    <t>We Wish You a Merry Christmas</t>
  </si>
  <si>
    <t>New Christmas Classics Series</t>
  </si>
  <si>
    <t>Jingle Bells</t>
  </si>
  <si>
    <t>O'Christmas Tree</t>
  </si>
  <si>
    <t>Christmas Carol</t>
  </si>
  <si>
    <t>Felix the Cat</t>
  </si>
  <si>
    <t>Saves Christmas</t>
  </si>
  <si>
    <t>Bah Humduck</t>
  </si>
  <si>
    <t>A Looney Tunes Christmas Original Movie</t>
  </si>
  <si>
    <t>Afterlife</t>
  </si>
  <si>
    <t>Art of War</t>
  </si>
  <si>
    <t>Furry Vengeance</t>
  </si>
  <si>
    <t>Gunless</t>
  </si>
  <si>
    <t>Killers</t>
  </si>
  <si>
    <t>Law Abiding Citizen</t>
  </si>
  <si>
    <t>Shinjuku Incident</t>
  </si>
  <si>
    <t>Slap Shot</t>
  </si>
  <si>
    <t>Stuart Little</t>
  </si>
  <si>
    <t>Stuart Little 2</t>
  </si>
  <si>
    <t>Princess and the Frog</t>
  </si>
  <si>
    <t>True Grit</t>
  </si>
  <si>
    <t>Gummi Bears</t>
  </si>
  <si>
    <t>Seasons 1-3</t>
  </si>
  <si>
    <t>Bolt</t>
  </si>
  <si>
    <t>Behemoth</t>
  </si>
  <si>
    <t>Veil</t>
  </si>
  <si>
    <t>Boris Karloff</t>
  </si>
  <si>
    <t>Stairway to Heaven</t>
  </si>
  <si>
    <t>Machete</t>
  </si>
  <si>
    <t>She Spies</t>
  </si>
  <si>
    <t>Born to Raise Hell</t>
  </si>
  <si>
    <t>The Final Rescues</t>
  </si>
  <si>
    <t>A-team</t>
  </si>
  <si>
    <t>Goeman</t>
  </si>
  <si>
    <t>Easy A</t>
  </si>
  <si>
    <t>Expendables</t>
  </si>
  <si>
    <t>Legion</t>
  </si>
  <si>
    <t>Lesbian Vampire Killers</t>
  </si>
  <si>
    <t>Other Guys</t>
  </si>
  <si>
    <t>Dead Snow</t>
  </si>
  <si>
    <t>Predators</t>
  </si>
  <si>
    <t>Ju-On</t>
  </si>
  <si>
    <t>White Ghost Black Ghost</t>
  </si>
  <si>
    <t>Scott Pilgrim vs the World</t>
  </si>
  <si>
    <t>For a Few Dollars More</t>
  </si>
  <si>
    <t>A Fistful of Dollars</t>
  </si>
  <si>
    <t>Hangover</t>
  </si>
  <si>
    <t>Jona Hex</t>
  </si>
  <si>
    <t>Matchstick Men</t>
  </si>
  <si>
    <t>Men With Brooms</t>
  </si>
  <si>
    <t>R.E.D.</t>
  </si>
  <si>
    <t>Salt</t>
  </si>
  <si>
    <t>St. Trinian's</t>
  </si>
  <si>
    <t>Sucker Punch</t>
  </si>
  <si>
    <t>Xena: Warrior Princess</t>
  </si>
  <si>
    <t>The Third Reich</t>
  </si>
  <si>
    <t>Last Exorcism</t>
  </si>
  <si>
    <t>Black Swan</t>
  </si>
  <si>
    <t>St. Trinians 2</t>
  </si>
  <si>
    <t>Legend of Frittons Gold</t>
  </si>
  <si>
    <t>Mechanic</t>
  </si>
  <si>
    <t>Attack of the Clones</t>
  </si>
  <si>
    <t>Revenge of the Sith</t>
  </si>
  <si>
    <t>Dumbo</t>
  </si>
  <si>
    <t>Ichabod and Mr. Toad</t>
  </si>
  <si>
    <t>The Complete Collection 1934-1959</t>
  </si>
  <si>
    <t>Paul</t>
  </si>
  <si>
    <t>Army of the Dead</t>
  </si>
  <si>
    <t>The Curse of the Anasazi</t>
  </si>
  <si>
    <t>Sukiyaki Western Django</t>
  </si>
  <si>
    <t>Adventures of Johnny Tao</t>
  </si>
  <si>
    <t>A Kung Fu Fable</t>
  </si>
  <si>
    <t>Priest</t>
  </si>
  <si>
    <t>Your Highness</t>
  </si>
  <si>
    <t>Blitz</t>
  </si>
  <si>
    <t>Hobo with a Shotgun</t>
  </si>
  <si>
    <t>Captain Power</t>
  </si>
  <si>
    <t>and the Soldiers of the Future</t>
  </si>
  <si>
    <t>Lord of War</t>
  </si>
  <si>
    <t>Dungeons and Dragons</t>
  </si>
  <si>
    <t>Into the Magical World</t>
  </si>
  <si>
    <t>Abominable Snowman</t>
  </si>
  <si>
    <t>Choose your own adventure</t>
  </si>
  <si>
    <t>Jurrasic Park</t>
  </si>
  <si>
    <t>The Lost World</t>
  </si>
  <si>
    <t>G.I. Samurai</t>
  </si>
  <si>
    <t>The Sonny Chiba Collection</t>
  </si>
  <si>
    <t>ninja Wars</t>
  </si>
  <si>
    <t>Legend of the Eight Samurai</t>
  </si>
  <si>
    <t>Resurrection of Golden Wolf</t>
  </si>
  <si>
    <t>Buck Rogers</t>
  </si>
  <si>
    <t>Revelations</t>
  </si>
  <si>
    <t>A Very Harold and Kumar Christmas</t>
  </si>
  <si>
    <t>Sky Crawlers</t>
  </si>
  <si>
    <t>Attack of the Monsters</t>
  </si>
  <si>
    <t>12 Creature Features</t>
  </si>
  <si>
    <t>Bride of the Gorilla</t>
  </si>
  <si>
    <t>Crater Lake Monster</t>
  </si>
  <si>
    <t>Creeping Terror</t>
  </si>
  <si>
    <t>Horror High</t>
  </si>
  <si>
    <t>Horror of the Zombies</t>
  </si>
  <si>
    <t>Horrors of Spider Island</t>
  </si>
  <si>
    <t>Kong Island</t>
  </si>
  <si>
    <t>Land of the Minotaur</t>
  </si>
  <si>
    <t>Snowbeast</t>
  </si>
  <si>
    <t>Wasp Woman</t>
  </si>
  <si>
    <t>Devil's Advocate</t>
  </si>
  <si>
    <t>Awakening</t>
  </si>
  <si>
    <t>Ranma 1/2</t>
  </si>
  <si>
    <t>OVA Series Box Set</t>
  </si>
  <si>
    <t>The Digital Dojo</t>
  </si>
  <si>
    <t>Tom Clancy's Ghost Recon</t>
  </si>
  <si>
    <t>Alpha</t>
  </si>
  <si>
    <t>Blood Sisteres of Lesbian Sin</t>
  </si>
  <si>
    <t>Hanna</t>
  </si>
  <si>
    <t>House of the Dead</t>
  </si>
  <si>
    <t>Hard Candy</t>
  </si>
  <si>
    <t>Act of Valor</t>
  </si>
  <si>
    <t>Raid</t>
  </si>
  <si>
    <t>Redemption</t>
  </si>
  <si>
    <t>Volume 8</t>
  </si>
  <si>
    <t>Brave</t>
  </si>
  <si>
    <t>Prometheus</t>
  </si>
  <si>
    <t>Retribution</t>
  </si>
  <si>
    <t>Bourne Legacy</t>
  </si>
  <si>
    <t>Supplier</t>
  </si>
  <si>
    <t>Item Description</t>
  </si>
  <si>
    <t>Quantity</t>
  </si>
  <si>
    <t>Unit Cost</t>
  </si>
  <si>
    <t>Total</t>
  </si>
  <si>
    <t>Comments</t>
  </si>
  <si>
    <t>Subtotal</t>
  </si>
  <si>
    <t>Tax (13%)</t>
  </si>
  <si>
    <t>Last</t>
  </si>
  <si>
    <t>Address</t>
  </si>
  <si>
    <t>City</t>
  </si>
  <si>
    <t>PotalCode</t>
  </si>
  <si>
    <t>Phone Number</t>
  </si>
  <si>
    <t xml:space="preserve">Category </t>
  </si>
  <si>
    <t>Title</t>
  </si>
  <si>
    <t>Year</t>
  </si>
  <si>
    <t>Length</t>
  </si>
  <si>
    <t>Format</t>
  </si>
  <si>
    <t>Notes</t>
  </si>
  <si>
    <t>Action Total</t>
  </si>
  <si>
    <t>Animated Total</t>
  </si>
  <si>
    <t>Anime Total</t>
  </si>
  <si>
    <t>Clay-mation Total</t>
  </si>
  <si>
    <t>Comedy Total</t>
  </si>
  <si>
    <t>Documentary Total</t>
  </si>
  <si>
    <t>Drama Total</t>
  </si>
  <si>
    <t>Fantasy Total</t>
  </si>
  <si>
    <t>Horror Total</t>
  </si>
  <si>
    <t>Live Action Total</t>
  </si>
  <si>
    <t>Marianation Total</t>
  </si>
  <si>
    <t>Martial Arts Total</t>
  </si>
  <si>
    <t>Music/Concert Total</t>
  </si>
  <si>
    <t>Mystery Total</t>
  </si>
  <si>
    <t>Science Fiction Total</t>
  </si>
  <si>
    <t>Stop-motion Total</t>
  </si>
  <si>
    <t>T.V. Edit Movie Total</t>
  </si>
  <si>
    <t>T.V. Show Total</t>
  </si>
  <si>
    <t>Thriller Total</t>
  </si>
  <si>
    <t>War Total</t>
  </si>
  <si>
    <t>Western Total</t>
  </si>
  <si>
    <t>Wrestling Total</t>
  </si>
  <si>
    <t>Grand Total</t>
  </si>
  <si>
    <t>Action Average</t>
  </si>
  <si>
    <t>Animated Average</t>
  </si>
  <si>
    <t>Anime Average</t>
  </si>
  <si>
    <t>Clay-mation Average</t>
  </si>
  <si>
    <t>Comedy Average</t>
  </si>
  <si>
    <t>Documentary Average</t>
  </si>
  <si>
    <t>Drama Average</t>
  </si>
  <si>
    <t>Fantasy Average</t>
  </si>
  <si>
    <t>Horror Average</t>
  </si>
  <si>
    <t>Live Action Average</t>
  </si>
  <si>
    <t>Marianation Average</t>
  </si>
  <si>
    <t>Martial Arts Average</t>
  </si>
  <si>
    <t>Music/Concert Average</t>
  </si>
  <si>
    <t>Mystery Average</t>
  </si>
  <si>
    <t>Science Fiction Average</t>
  </si>
  <si>
    <t>Stop-motion Average</t>
  </si>
  <si>
    <t>T.V. Edit Movie Average</t>
  </si>
  <si>
    <t>T.V. Show Average</t>
  </si>
  <si>
    <t>Thriller Average</t>
  </si>
  <si>
    <t>War Average</t>
  </si>
  <si>
    <t>Western Average</t>
  </si>
  <si>
    <t>Wrestling Average</t>
  </si>
  <si>
    <t>Grand Average</t>
  </si>
  <si>
    <t>St. Catherines</t>
  </si>
  <si>
    <t>l77777</t>
  </si>
  <si>
    <t>William</t>
  </si>
  <si>
    <t>Blunder</t>
  </si>
  <si>
    <t>IT</t>
  </si>
  <si>
    <t>Test Title</t>
  </si>
  <si>
    <t>Test Title 2</t>
  </si>
  <si>
    <t>hjhglkjh;kljhk;</t>
  </si>
  <si>
    <t>kljnlkj</t>
  </si>
  <si>
    <t>,ljkbnkj</t>
  </si>
  <si>
    <t>jkhkljh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</si>
</sst>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/>
    </xf>
    <xf numFmtId="164" fontId="0" fillId="0" borderId="1" xfId="1" applyFont="1" applyBorder="1"/>
    <xf numFmtId="0" fontId="0" fillId="2" borderId="1" xfId="0" applyFill="1" applyBorder="1"/>
    <xf numFmtId="0" fontId="1" fillId="0" borderId="0" xfId="0" applyFont="1"/>
    <xf numFmtId="3" fontId="0" fillId="0" borderId="1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15</xdr:row>
          <xdr:rowOff>19050</xdr:rowOff>
        </xdr:from>
        <xdr:to>
          <xdr:col>2</xdr:col>
          <xdr:colOff>438150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76200</xdr:rowOff>
    </xdr:from>
    <xdr:to>
      <xdr:col>14</xdr:col>
      <xdr:colOff>19050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4552950" y="266700"/>
          <a:ext cx="400050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zoomScaleNormal="100" workbookViewId="0">
      <selection activeCell="D56" sqref="D56"/>
    </sheetView>
  </sheetViews>
  <sheetFormatPr defaultRowHeight="15" outlineLevelRow="2" x14ac:dyDescent="0.25"/>
  <cols>
    <col min="1" max="1" width="10.5703125" customWidth="1"/>
    <col min="2" max="2" width="10.140625" customWidth="1"/>
    <col min="3" max="3" width="10" customWidth="1"/>
    <col min="4" max="4" width="6.28515625" customWidth="1"/>
  </cols>
  <sheetData>
    <row r="1" spans="1:4" outlineLevel="1" x14ac:dyDescent="0.25">
      <c r="A1" s="1" t="s">
        <v>0</v>
      </c>
      <c r="B1" s="1" t="s">
        <v>1</v>
      </c>
      <c r="C1" s="1" t="s">
        <v>14</v>
      </c>
      <c r="D1" s="1" t="s">
        <v>17</v>
      </c>
    </row>
    <row r="2" spans="1:4" outlineLevel="2" x14ac:dyDescent="0.25">
      <c r="A2" t="s">
        <v>2</v>
      </c>
      <c r="B2" t="s">
        <v>8</v>
      </c>
      <c r="C2" t="s">
        <v>15</v>
      </c>
      <c r="D2">
        <v>35000</v>
      </c>
    </row>
    <row r="3" spans="1:4" outlineLevel="2" x14ac:dyDescent="0.25">
      <c r="A3" t="s">
        <v>4</v>
      </c>
      <c r="B3" t="s">
        <v>10</v>
      </c>
      <c r="C3" t="s">
        <v>15</v>
      </c>
      <c r="D3">
        <v>60000</v>
      </c>
    </row>
    <row r="4" spans="1:4" outlineLevel="1" x14ac:dyDescent="0.25"/>
    <row r="5" spans="1:4" outlineLevel="2" x14ac:dyDescent="0.25">
      <c r="A5" t="s">
        <v>3</v>
      </c>
      <c r="B5" t="s">
        <v>9</v>
      </c>
      <c r="C5" t="s">
        <v>16</v>
      </c>
      <c r="D5">
        <v>43000</v>
      </c>
    </row>
    <row r="6" spans="1:4" outlineLevel="2" x14ac:dyDescent="0.25">
      <c r="A6" t="s">
        <v>7</v>
      </c>
      <c r="B6" t="s">
        <v>13</v>
      </c>
      <c r="C6" t="s">
        <v>16</v>
      </c>
      <c r="D6">
        <v>70000</v>
      </c>
    </row>
    <row r="7" spans="1:4" outlineLevel="1" x14ac:dyDescent="0.25"/>
    <row r="8" spans="1:4" outlineLevel="2" x14ac:dyDescent="0.25">
      <c r="A8" t="s">
        <v>5</v>
      </c>
      <c r="B8" t="s">
        <v>11</v>
      </c>
      <c r="C8" t="s">
        <v>18</v>
      </c>
      <c r="D8">
        <v>25500</v>
      </c>
    </row>
    <row r="9" spans="1:4" outlineLevel="2" x14ac:dyDescent="0.25">
      <c r="A9" t="s">
        <v>6</v>
      </c>
      <c r="B9" t="s">
        <v>12</v>
      </c>
      <c r="C9" t="s">
        <v>18</v>
      </c>
      <c r="D9">
        <v>32000</v>
      </c>
    </row>
    <row r="10" spans="1:4" outlineLevel="1" x14ac:dyDescent="0.25"/>
    <row r="13" spans="1:4" x14ac:dyDescent="0.25">
      <c r="A13" s="1"/>
      <c r="B13" s="1"/>
      <c r="C13" s="1"/>
      <c r="D13" s="1"/>
    </row>
  </sheetData>
  <sortState ref="A2:D7">
    <sortCondition ref="C2:C7"/>
  </sortState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2"/>
  <sheetViews>
    <sheetView zoomScaleNormal="100" workbookViewId="0">
      <selection activeCell="B1196" sqref="B1196"/>
    </sheetView>
  </sheetViews>
  <sheetFormatPr defaultRowHeight="15" outlineLevelRow="2" x14ac:dyDescent="0.25"/>
  <cols>
    <col min="1" max="1" width="14.42578125" bestFit="1" customWidth="1"/>
    <col min="2" max="2" width="44.140625" bestFit="1" customWidth="1"/>
    <col min="3" max="3" width="35.7109375" bestFit="1" customWidth="1"/>
    <col min="4" max="4" width="38.42578125" bestFit="1" customWidth="1"/>
    <col min="5" max="5" width="9.7109375" bestFit="1" customWidth="1"/>
    <col min="6" max="6" width="42.5703125" bestFit="1" customWidth="1"/>
    <col min="7" max="7" width="36" bestFit="1" customWidth="1"/>
    <col min="8" max="8" width="42.5703125" bestFit="1" customWidth="1"/>
    <col min="9" max="9" width="7.28515625" bestFit="1" customWidth="1"/>
    <col min="10" max="10" width="4.85546875" bestFit="1" customWidth="1"/>
  </cols>
  <sheetData>
    <row r="1" spans="1:7" x14ac:dyDescent="0.25">
      <c r="A1" t="s">
        <v>1280</v>
      </c>
      <c r="B1" t="s">
        <v>1281</v>
      </c>
      <c r="C1" t="s">
        <v>1272</v>
      </c>
      <c r="D1" t="s">
        <v>1282</v>
      </c>
      <c r="E1" t="s">
        <v>1283</v>
      </c>
      <c r="F1" t="s">
        <v>1285</v>
      </c>
      <c r="G1" t="s">
        <v>1284</v>
      </c>
    </row>
    <row r="2" spans="1:7" hidden="1" outlineLevel="2" x14ac:dyDescent="0.25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idden="1" outlineLevel="2" x14ac:dyDescent="0.25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idden="1" outlineLevel="2" x14ac:dyDescent="0.25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idden="1" outlineLevel="2" x14ac:dyDescent="0.25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idden="1" outlineLevel="2" x14ac:dyDescent="0.25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idden="1" outlineLevel="2" x14ac:dyDescent="0.25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idden="1" outlineLevel="2" x14ac:dyDescent="0.25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idden="1" outlineLevel="2" x14ac:dyDescent="0.25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idden="1" outlineLevel="2" x14ac:dyDescent="0.25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idden="1" outlineLevel="2" x14ac:dyDescent="0.25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idden="1" outlineLevel="2" x14ac:dyDescent="0.25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idden="1" outlineLevel="2" x14ac:dyDescent="0.25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idden="1" outlineLevel="2" x14ac:dyDescent="0.25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idden="1" outlineLevel="2" x14ac:dyDescent="0.25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idden="1" outlineLevel="2" x14ac:dyDescent="0.25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idden="1" outlineLevel="2" x14ac:dyDescent="0.25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idden="1" outlineLevel="2" x14ac:dyDescent="0.25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idden="1" outlineLevel="2" x14ac:dyDescent="0.25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idden="1" outlineLevel="2" x14ac:dyDescent="0.25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idden="1" outlineLevel="2" x14ac:dyDescent="0.25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idden="1" outlineLevel="2" x14ac:dyDescent="0.25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idden="1" outlineLevel="2" x14ac:dyDescent="0.25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idden="1" outlineLevel="2" x14ac:dyDescent="0.25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idden="1" outlineLevel="2" x14ac:dyDescent="0.25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idden="1" outlineLevel="2" x14ac:dyDescent="0.25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idden="1" outlineLevel="2" x14ac:dyDescent="0.25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idden="1" outlineLevel="2" x14ac:dyDescent="0.25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idden="1" outlineLevel="2" x14ac:dyDescent="0.25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idden="1" outlineLevel="2" x14ac:dyDescent="0.25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idden="1" outlineLevel="2" x14ac:dyDescent="0.25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idden="1" outlineLevel="2" x14ac:dyDescent="0.25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idden="1" outlineLevel="2" x14ac:dyDescent="0.25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idden="1" outlineLevel="2" x14ac:dyDescent="0.25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idden="1" outlineLevel="2" x14ac:dyDescent="0.25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idden="1" outlineLevel="2" x14ac:dyDescent="0.25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idden="1" outlineLevel="2" x14ac:dyDescent="0.25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idden="1" outlineLevel="2" x14ac:dyDescent="0.25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idden="1" outlineLevel="2" x14ac:dyDescent="0.25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idden="1" outlineLevel="2" x14ac:dyDescent="0.25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idden="1" outlineLevel="2" x14ac:dyDescent="0.25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idden="1" outlineLevel="2" x14ac:dyDescent="0.25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idden="1" outlineLevel="2" x14ac:dyDescent="0.25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idden="1" outlineLevel="2" x14ac:dyDescent="0.25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idden="1" outlineLevel="2" x14ac:dyDescent="0.25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idden="1" outlineLevel="2" x14ac:dyDescent="0.25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idden="1" outlineLevel="2" x14ac:dyDescent="0.25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idden="1" outlineLevel="2" x14ac:dyDescent="0.25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idden="1" outlineLevel="2" x14ac:dyDescent="0.25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idden="1" outlineLevel="2" x14ac:dyDescent="0.25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idden="1" outlineLevel="2" x14ac:dyDescent="0.25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idden="1" outlineLevel="2" x14ac:dyDescent="0.25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idden="1" outlineLevel="2" x14ac:dyDescent="0.25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idden="1" outlineLevel="2" x14ac:dyDescent="0.25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idden="1" outlineLevel="2" x14ac:dyDescent="0.25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idden="1" outlineLevel="2" x14ac:dyDescent="0.25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idden="1" outlineLevel="2" x14ac:dyDescent="0.25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idden="1" outlineLevel="2" x14ac:dyDescent="0.25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idden="1" outlineLevel="2" x14ac:dyDescent="0.25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idden="1" outlineLevel="2" x14ac:dyDescent="0.25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idden="1" outlineLevel="2" x14ac:dyDescent="0.25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idden="1" outlineLevel="2" x14ac:dyDescent="0.25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idden="1" outlineLevel="2" x14ac:dyDescent="0.25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idden="1" outlineLevel="2" x14ac:dyDescent="0.25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idden="1" outlineLevel="2" x14ac:dyDescent="0.25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idden="1" outlineLevel="2" x14ac:dyDescent="0.25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idden="1" outlineLevel="2" x14ac:dyDescent="0.25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idden="1" outlineLevel="2" x14ac:dyDescent="0.25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idden="1" outlineLevel="2" x14ac:dyDescent="0.25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idden="1" outlineLevel="2" x14ac:dyDescent="0.25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idden="1" outlineLevel="2" x14ac:dyDescent="0.25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idden="1" outlineLevel="2" x14ac:dyDescent="0.25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idden="1" outlineLevel="2" x14ac:dyDescent="0.25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idden="1" outlineLevel="2" x14ac:dyDescent="0.25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idden="1" outlineLevel="2" x14ac:dyDescent="0.25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idden="1" outlineLevel="2" x14ac:dyDescent="0.25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idden="1" outlineLevel="2" x14ac:dyDescent="0.25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idden="1" outlineLevel="2" x14ac:dyDescent="0.25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idden="1" outlineLevel="2" x14ac:dyDescent="0.25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idden="1" outlineLevel="2" x14ac:dyDescent="0.25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idden="1" outlineLevel="2" x14ac:dyDescent="0.25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idden="1" outlineLevel="2" x14ac:dyDescent="0.25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idden="1" outlineLevel="2" x14ac:dyDescent="0.25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idden="1" outlineLevel="2" x14ac:dyDescent="0.25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idden="1" outlineLevel="2" x14ac:dyDescent="0.25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idden="1" outlineLevel="2" x14ac:dyDescent="0.25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idden="1" outlineLevel="2" x14ac:dyDescent="0.25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idden="1" outlineLevel="2" x14ac:dyDescent="0.25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idden="1" outlineLevel="2" x14ac:dyDescent="0.25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idden="1" outlineLevel="2" x14ac:dyDescent="0.25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idden="1" outlineLevel="2" x14ac:dyDescent="0.25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idden="1" outlineLevel="2" x14ac:dyDescent="0.25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idden="1" outlineLevel="2" x14ac:dyDescent="0.25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idden="1" outlineLevel="2" x14ac:dyDescent="0.25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idden="1" outlineLevel="2" x14ac:dyDescent="0.25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idden="1" outlineLevel="2" x14ac:dyDescent="0.25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idden="1" outlineLevel="2" x14ac:dyDescent="0.25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idden="1" outlineLevel="2" x14ac:dyDescent="0.25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idden="1" outlineLevel="2" x14ac:dyDescent="0.25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idden="1" outlineLevel="2" x14ac:dyDescent="0.25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idden="1" outlineLevel="2" x14ac:dyDescent="0.25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idden="1" outlineLevel="2" x14ac:dyDescent="0.25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idden="1" outlineLevel="2" x14ac:dyDescent="0.25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idden="1" outlineLevel="2" x14ac:dyDescent="0.25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idden="1" outlineLevel="2" x14ac:dyDescent="0.25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idden="1" outlineLevel="2" x14ac:dyDescent="0.25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idden="1" outlineLevel="2" x14ac:dyDescent="0.25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idden="1" outlineLevel="2" x14ac:dyDescent="0.25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idden="1" outlineLevel="2" x14ac:dyDescent="0.25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idden="1" outlineLevel="2" x14ac:dyDescent="0.25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idden="1" outlineLevel="2" x14ac:dyDescent="0.25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idden="1" outlineLevel="2" x14ac:dyDescent="0.25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idden="1" outlineLevel="2" x14ac:dyDescent="0.25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idden="1" outlineLevel="2" x14ac:dyDescent="0.25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idden="1" outlineLevel="2" x14ac:dyDescent="0.25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idden="1" outlineLevel="2" x14ac:dyDescent="0.25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idden="1" outlineLevel="2" x14ac:dyDescent="0.25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idden="1" outlineLevel="2" x14ac:dyDescent="0.25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idden="1" outlineLevel="2" x14ac:dyDescent="0.25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idden="1" outlineLevel="2" x14ac:dyDescent="0.25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idden="1" outlineLevel="2" x14ac:dyDescent="0.25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idden="1" outlineLevel="2" x14ac:dyDescent="0.25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idden="1" outlineLevel="2" x14ac:dyDescent="0.25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idden="1" outlineLevel="2" x14ac:dyDescent="0.25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idden="1" outlineLevel="2" x14ac:dyDescent="0.25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idden="1" outlineLevel="2" x14ac:dyDescent="0.25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idden="1" outlineLevel="2" x14ac:dyDescent="0.25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idden="1" outlineLevel="2" x14ac:dyDescent="0.25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idden="1" outlineLevel="2" x14ac:dyDescent="0.25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idden="1" outlineLevel="2" x14ac:dyDescent="0.25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idden="1" outlineLevel="2" x14ac:dyDescent="0.25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idden="1" outlineLevel="2" x14ac:dyDescent="0.25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idden="1" outlineLevel="2" x14ac:dyDescent="0.25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idden="1" outlineLevel="2" x14ac:dyDescent="0.25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idden="1" outlineLevel="2" x14ac:dyDescent="0.25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idden="1" outlineLevel="2" x14ac:dyDescent="0.25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idden="1" outlineLevel="2" x14ac:dyDescent="0.25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idden="1" outlineLevel="2" x14ac:dyDescent="0.25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idden="1" outlineLevel="2" x14ac:dyDescent="0.25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idden="1" outlineLevel="2" x14ac:dyDescent="0.25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idden="1" outlineLevel="2" x14ac:dyDescent="0.25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idden="1" outlineLevel="2" x14ac:dyDescent="0.25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idden="1" outlineLevel="2" x14ac:dyDescent="0.25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idden="1" outlineLevel="2" x14ac:dyDescent="0.25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idden="1" outlineLevel="2" x14ac:dyDescent="0.25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idden="1" outlineLevel="2" x14ac:dyDescent="0.25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idden="1" outlineLevel="2" x14ac:dyDescent="0.25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idden="1" outlineLevel="2" x14ac:dyDescent="0.25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idden="1" outlineLevel="2" x14ac:dyDescent="0.25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idden="1" outlineLevel="2" x14ac:dyDescent="0.25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idden="1" outlineLevel="2" x14ac:dyDescent="0.25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idden="1" outlineLevel="2" x14ac:dyDescent="0.25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idden="1" outlineLevel="2" x14ac:dyDescent="0.25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idden="1" outlineLevel="2" x14ac:dyDescent="0.25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idden="1" outlineLevel="2" x14ac:dyDescent="0.25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idden="1" outlineLevel="2" x14ac:dyDescent="0.25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idden="1" outlineLevel="2" x14ac:dyDescent="0.25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idden="1" outlineLevel="2" x14ac:dyDescent="0.25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idden="1" outlineLevel="2" x14ac:dyDescent="0.25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idden="1" outlineLevel="2" x14ac:dyDescent="0.25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idden="1" outlineLevel="2" x14ac:dyDescent="0.25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idden="1" outlineLevel="2" x14ac:dyDescent="0.25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idden="1" outlineLevel="2" x14ac:dyDescent="0.25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idden="1" outlineLevel="2" x14ac:dyDescent="0.25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idden="1" outlineLevel="2" x14ac:dyDescent="0.25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idden="1" outlineLevel="2" x14ac:dyDescent="0.25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idden="1" outlineLevel="2" x14ac:dyDescent="0.25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idden="1" outlineLevel="2" x14ac:dyDescent="0.25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idden="1" outlineLevel="2" x14ac:dyDescent="0.25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idden="1" outlineLevel="2" x14ac:dyDescent="0.25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idden="1" outlineLevel="2" x14ac:dyDescent="0.25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idden="1" outlineLevel="2" x14ac:dyDescent="0.25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idden="1" outlineLevel="2" x14ac:dyDescent="0.25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idden="1" outlineLevel="2" x14ac:dyDescent="0.25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idden="1" outlineLevel="2" x14ac:dyDescent="0.25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idden="1" outlineLevel="2" x14ac:dyDescent="0.25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idden="1" outlineLevel="2" x14ac:dyDescent="0.25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idden="1" outlineLevel="2" x14ac:dyDescent="0.25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idden="1" outlineLevel="2" x14ac:dyDescent="0.25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idden="1" outlineLevel="2" x14ac:dyDescent="0.25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idden="1" outlineLevel="2" x14ac:dyDescent="0.25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idden="1" outlineLevel="2" x14ac:dyDescent="0.25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idden="1" outlineLevel="2" x14ac:dyDescent="0.25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idden="1" outlineLevel="2" x14ac:dyDescent="0.25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idden="1" outlineLevel="2" x14ac:dyDescent="0.25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idden="1" outlineLevel="2" x14ac:dyDescent="0.25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idden="1" outlineLevel="2" x14ac:dyDescent="0.25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idden="1" outlineLevel="2" x14ac:dyDescent="0.25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idden="1" outlineLevel="2" x14ac:dyDescent="0.25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idden="1" outlineLevel="2" x14ac:dyDescent="0.25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idden="1" outlineLevel="2" x14ac:dyDescent="0.25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idden="1" outlineLevel="2" x14ac:dyDescent="0.25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idden="1" outlineLevel="2" x14ac:dyDescent="0.25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idden="1" outlineLevel="2" x14ac:dyDescent="0.25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idden="1" outlineLevel="2" x14ac:dyDescent="0.25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idden="1" outlineLevel="2" x14ac:dyDescent="0.25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idden="1" outlineLevel="2" x14ac:dyDescent="0.25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idden="1" outlineLevel="2" x14ac:dyDescent="0.25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idden="1" outlineLevel="2" x14ac:dyDescent="0.25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idden="1" outlineLevel="2" x14ac:dyDescent="0.25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idden="1" outlineLevel="2" x14ac:dyDescent="0.25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idden="1" outlineLevel="2" x14ac:dyDescent="0.25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idden="1" outlineLevel="2" x14ac:dyDescent="0.25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idden="1" outlineLevel="2" x14ac:dyDescent="0.25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idden="1" outlineLevel="2" x14ac:dyDescent="0.25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idden="1" outlineLevel="2" x14ac:dyDescent="0.25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idden="1" outlineLevel="2" x14ac:dyDescent="0.25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idden="1" outlineLevel="2" x14ac:dyDescent="0.25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idden="1" outlineLevel="2" x14ac:dyDescent="0.25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idden="1" outlineLevel="2" x14ac:dyDescent="0.25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idden="1" outlineLevel="2" x14ac:dyDescent="0.25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idden="1" outlineLevel="2" x14ac:dyDescent="0.25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idden="1" outlineLevel="2" x14ac:dyDescent="0.25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idden="1" outlineLevel="2" x14ac:dyDescent="0.25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idden="1" outlineLevel="2" x14ac:dyDescent="0.25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idden="1" outlineLevel="2" x14ac:dyDescent="0.25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idden="1" outlineLevel="2" x14ac:dyDescent="0.25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idden="1" outlineLevel="2" x14ac:dyDescent="0.25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idden="1" outlineLevel="2" x14ac:dyDescent="0.25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idden="1" outlineLevel="2" x14ac:dyDescent="0.25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idden="1" outlineLevel="2" x14ac:dyDescent="0.25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idden="1" outlineLevel="2" x14ac:dyDescent="0.25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idden="1" outlineLevel="2" x14ac:dyDescent="0.25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idden="1" outlineLevel="2" x14ac:dyDescent="0.25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idden="1" outlineLevel="2" x14ac:dyDescent="0.25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idden="1" outlineLevel="2" x14ac:dyDescent="0.25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idden="1" outlineLevel="2" x14ac:dyDescent="0.25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idden="1" outlineLevel="2" x14ac:dyDescent="0.25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idden="1" outlineLevel="2" x14ac:dyDescent="0.25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idden="1" outlineLevel="2" x14ac:dyDescent="0.25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idden="1" outlineLevel="2" x14ac:dyDescent="0.25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idden="1" outlineLevel="2" x14ac:dyDescent="0.25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idden="1" outlineLevel="2" x14ac:dyDescent="0.25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idden="1" outlineLevel="2" x14ac:dyDescent="0.25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idden="1" outlineLevel="2" x14ac:dyDescent="0.25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idden="1" outlineLevel="2" x14ac:dyDescent="0.25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idden="1" outlineLevel="2" x14ac:dyDescent="0.25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idden="1" outlineLevel="2" x14ac:dyDescent="0.25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idden="1" outlineLevel="2" x14ac:dyDescent="0.25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idden="1" outlineLevel="2" x14ac:dyDescent="0.25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idden="1" outlineLevel="2" x14ac:dyDescent="0.25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idden="1" outlineLevel="2" x14ac:dyDescent="0.25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idden="1" outlineLevel="2" x14ac:dyDescent="0.25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idden="1" outlineLevel="2" x14ac:dyDescent="0.25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idden="1" outlineLevel="2" x14ac:dyDescent="0.25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idden="1" outlineLevel="2" x14ac:dyDescent="0.25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idden="1" outlineLevel="2" x14ac:dyDescent="0.25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idden="1" outlineLevel="2" x14ac:dyDescent="0.25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idden="1" outlineLevel="2" x14ac:dyDescent="0.25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idden="1" outlineLevel="2" x14ac:dyDescent="0.25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idden="1" outlineLevel="2" x14ac:dyDescent="0.25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idden="1" outlineLevel="2" x14ac:dyDescent="0.25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idden="1" outlineLevel="2" x14ac:dyDescent="0.25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idden="1" outlineLevel="2" x14ac:dyDescent="0.25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idden="1" outlineLevel="2" x14ac:dyDescent="0.25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idden="1" outlineLevel="2" x14ac:dyDescent="0.25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idden="1" outlineLevel="2" x14ac:dyDescent="0.25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idden="1" outlineLevel="2" x14ac:dyDescent="0.25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idden="1" outlineLevel="2" x14ac:dyDescent="0.25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idden="1" outlineLevel="2" x14ac:dyDescent="0.25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idden="1" outlineLevel="2" x14ac:dyDescent="0.25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idden="1" outlineLevel="2" x14ac:dyDescent="0.25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idden="1" outlineLevel="2" x14ac:dyDescent="0.25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idden="1" outlineLevel="2" x14ac:dyDescent="0.25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idden="1" outlineLevel="2" x14ac:dyDescent="0.25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idden="1" outlineLevel="2" x14ac:dyDescent="0.25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idden="1" outlineLevel="2" x14ac:dyDescent="0.25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idden="1" outlineLevel="2" x14ac:dyDescent="0.25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idden="1" outlineLevel="2" x14ac:dyDescent="0.25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idden="1" outlineLevel="2" x14ac:dyDescent="0.25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idden="1" outlineLevel="2" x14ac:dyDescent="0.25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idden="1" outlineLevel="2" x14ac:dyDescent="0.25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idden="1" outlineLevel="2" x14ac:dyDescent="0.25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idden="1" outlineLevel="2" x14ac:dyDescent="0.25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idden="1" outlineLevel="2" x14ac:dyDescent="0.25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idden="1" outlineLevel="2" x14ac:dyDescent="0.25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idden="1" outlineLevel="2" x14ac:dyDescent="0.25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idden="1" outlineLevel="2" x14ac:dyDescent="0.25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idden="1" outlineLevel="2" x14ac:dyDescent="0.25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idden="1" outlineLevel="2" x14ac:dyDescent="0.25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idden="1" outlineLevel="2" x14ac:dyDescent="0.25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idden="1" outlineLevel="2" x14ac:dyDescent="0.25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idden="1" outlineLevel="2" x14ac:dyDescent="0.25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idden="1" outlineLevel="2" x14ac:dyDescent="0.25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idden="1" outlineLevel="2" x14ac:dyDescent="0.25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idden="1" outlineLevel="2" x14ac:dyDescent="0.25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idden="1" outlineLevel="2" x14ac:dyDescent="0.25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25">
      <c r="A288" s="8" t="s">
        <v>1286</v>
      </c>
      <c r="E288">
        <f>SUBTOTAL(9,E2:E287)</f>
        <v>30615</v>
      </c>
    </row>
    <row r="289" spans="1:7" hidden="1" outlineLevel="2" x14ac:dyDescent="0.25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idden="1" outlineLevel="2" x14ac:dyDescent="0.25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idden="1" outlineLevel="2" x14ac:dyDescent="0.25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idden="1" outlineLevel="2" x14ac:dyDescent="0.25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idden="1" outlineLevel="2" x14ac:dyDescent="0.25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idden="1" outlineLevel="2" x14ac:dyDescent="0.25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idden="1" outlineLevel="2" x14ac:dyDescent="0.25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idden="1" outlineLevel="2" x14ac:dyDescent="0.25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idden="1" outlineLevel="2" x14ac:dyDescent="0.25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idden="1" outlineLevel="2" x14ac:dyDescent="0.25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idden="1" outlineLevel="2" x14ac:dyDescent="0.25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idden="1" outlineLevel="2" x14ac:dyDescent="0.25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idden="1" outlineLevel="2" x14ac:dyDescent="0.25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idden="1" outlineLevel="2" x14ac:dyDescent="0.25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idden="1" outlineLevel="2" x14ac:dyDescent="0.25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idden="1" outlineLevel="2" x14ac:dyDescent="0.25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idden="1" outlineLevel="2" x14ac:dyDescent="0.25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idden="1" outlineLevel="2" x14ac:dyDescent="0.25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idden="1" outlineLevel="2" x14ac:dyDescent="0.25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idden="1" outlineLevel="2" x14ac:dyDescent="0.25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idden="1" outlineLevel="2" x14ac:dyDescent="0.25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idden="1" outlineLevel="2" x14ac:dyDescent="0.25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idden="1" outlineLevel="2" x14ac:dyDescent="0.25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idden="1" outlineLevel="2" x14ac:dyDescent="0.25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idden="1" outlineLevel="2" x14ac:dyDescent="0.25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idden="1" outlineLevel="2" x14ac:dyDescent="0.25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idden="1" outlineLevel="2" x14ac:dyDescent="0.25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idden="1" outlineLevel="2" x14ac:dyDescent="0.25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idden="1" outlineLevel="2" x14ac:dyDescent="0.25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idden="1" outlineLevel="2" x14ac:dyDescent="0.25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idden="1" outlineLevel="2" x14ac:dyDescent="0.25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idden="1" outlineLevel="2" x14ac:dyDescent="0.25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idden="1" outlineLevel="2" x14ac:dyDescent="0.25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idden="1" outlineLevel="2" x14ac:dyDescent="0.25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idden="1" outlineLevel="2" x14ac:dyDescent="0.25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idden="1" outlineLevel="2" x14ac:dyDescent="0.25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idden="1" outlineLevel="2" x14ac:dyDescent="0.25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idden="1" outlineLevel="2" x14ac:dyDescent="0.25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idden="1" outlineLevel="2" x14ac:dyDescent="0.25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idden="1" outlineLevel="2" x14ac:dyDescent="0.25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idden="1" outlineLevel="2" x14ac:dyDescent="0.25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idden="1" outlineLevel="2" x14ac:dyDescent="0.25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idden="1" outlineLevel="2" x14ac:dyDescent="0.25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idden="1" outlineLevel="2" x14ac:dyDescent="0.25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idden="1" outlineLevel="2" x14ac:dyDescent="0.25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idden="1" outlineLevel="2" x14ac:dyDescent="0.25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idden="1" outlineLevel="2" x14ac:dyDescent="0.25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idden="1" outlineLevel="2" x14ac:dyDescent="0.25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idden="1" outlineLevel="2" x14ac:dyDescent="0.25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idden="1" outlineLevel="2" x14ac:dyDescent="0.25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idden="1" outlineLevel="2" x14ac:dyDescent="0.25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idden="1" outlineLevel="2" x14ac:dyDescent="0.25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idden="1" outlineLevel="2" x14ac:dyDescent="0.25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idden="1" outlineLevel="2" x14ac:dyDescent="0.25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idden="1" outlineLevel="2" x14ac:dyDescent="0.25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idden="1" outlineLevel="2" x14ac:dyDescent="0.25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idden="1" outlineLevel="2" x14ac:dyDescent="0.25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idden="1" outlineLevel="2" x14ac:dyDescent="0.25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idden="1" outlineLevel="2" x14ac:dyDescent="0.25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idden="1" outlineLevel="2" x14ac:dyDescent="0.25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idden="1" outlineLevel="2" x14ac:dyDescent="0.25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idden="1" outlineLevel="2" x14ac:dyDescent="0.25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idden="1" outlineLevel="2" x14ac:dyDescent="0.25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idden="1" outlineLevel="2" x14ac:dyDescent="0.25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idden="1" outlineLevel="2" x14ac:dyDescent="0.25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idden="1" outlineLevel="2" x14ac:dyDescent="0.25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idden="1" outlineLevel="2" x14ac:dyDescent="0.25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idden="1" outlineLevel="2" x14ac:dyDescent="0.25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idden="1" outlineLevel="2" x14ac:dyDescent="0.25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idden="1" outlineLevel="2" x14ac:dyDescent="0.25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idden="1" outlineLevel="2" x14ac:dyDescent="0.25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idden="1" outlineLevel="2" x14ac:dyDescent="0.25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idden="1" outlineLevel="2" x14ac:dyDescent="0.25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idden="1" outlineLevel="2" x14ac:dyDescent="0.25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idden="1" outlineLevel="2" x14ac:dyDescent="0.25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idden="1" outlineLevel="2" x14ac:dyDescent="0.25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idden="1" outlineLevel="2" x14ac:dyDescent="0.25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idden="1" outlineLevel="2" x14ac:dyDescent="0.25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idden="1" outlineLevel="2" x14ac:dyDescent="0.25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idden="1" outlineLevel="2" x14ac:dyDescent="0.25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idden="1" outlineLevel="2" x14ac:dyDescent="0.25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idden="1" outlineLevel="2" x14ac:dyDescent="0.25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idden="1" outlineLevel="2" x14ac:dyDescent="0.25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idden="1" outlineLevel="2" x14ac:dyDescent="0.25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idden="1" outlineLevel="2" x14ac:dyDescent="0.25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idden="1" outlineLevel="2" x14ac:dyDescent="0.25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idden="1" outlineLevel="2" x14ac:dyDescent="0.25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idden="1" outlineLevel="2" x14ac:dyDescent="0.25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idden="1" outlineLevel="2" x14ac:dyDescent="0.25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idden="1" outlineLevel="2" x14ac:dyDescent="0.25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idden="1" outlineLevel="2" x14ac:dyDescent="0.25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idden="1" outlineLevel="2" x14ac:dyDescent="0.25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idden="1" outlineLevel="2" x14ac:dyDescent="0.25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idden="1" outlineLevel="2" x14ac:dyDescent="0.25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idden="1" outlineLevel="2" x14ac:dyDescent="0.25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idden="1" outlineLevel="2" x14ac:dyDescent="0.25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idden="1" outlineLevel="2" x14ac:dyDescent="0.25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idden="1" outlineLevel="2" x14ac:dyDescent="0.25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idden="1" outlineLevel="2" x14ac:dyDescent="0.25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idden="1" outlineLevel="2" x14ac:dyDescent="0.25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idden="1" outlineLevel="2" x14ac:dyDescent="0.25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idden="1" outlineLevel="2" x14ac:dyDescent="0.25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25">
      <c r="A391" s="8" t="s">
        <v>1287</v>
      </c>
      <c r="E391">
        <f>SUBTOTAL(9,E289:E390)</f>
        <v>8544</v>
      </c>
    </row>
    <row r="392" spans="1:7" hidden="1" outlineLevel="2" x14ac:dyDescent="0.25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idden="1" outlineLevel="2" x14ac:dyDescent="0.25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idden="1" outlineLevel="2" x14ac:dyDescent="0.25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idden="1" outlineLevel="2" x14ac:dyDescent="0.25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idden="1" outlineLevel="2" x14ac:dyDescent="0.25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idden="1" outlineLevel="2" x14ac:dyDescent="0.25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idden="1" outlineLevel="2" x14ac:dyDescent="0.25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idden="1" outlineLevel="2" x14ac:dyDescent="0.25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idden="1" outlineLevel="2" x14ac:dyDescent="0.25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idden="1" outlineLevel="2" x14ac:dyDescent="0.25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idden="1" outlineLevel="2" x14ac:dyDescent="0.25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idden="1" outlineLevel="2" x14ac:dyDescent="0.25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idden="1" outlineLevel="2" x14ac:dyDescent="0.25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idden="1" outlineLevel="2" x14ac:dyDescent="0.25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idden="1" outlineLevel="2" x14ac:dyDescent="0.25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idden="1" outlineLevel="2" x14ac:dyDescent="0.25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idden="1" outlineLevel="2" x14ac:dyDescent="0.25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idden="1" outlineLevel="2" x14ac:dyDescent="0.25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idden="1" outlineLevel="2" x14ac:dyDescent="0.25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idden="1" outlineLevel="2" x14ac:dyDescent="0.25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idden="1" outlineLevel="2" x14ac:dyDescent="0.25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idden="1" outlineLevel="2" x14ac:dyDescent="0.25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idden="1" outlineLevel="2" x14ac:dyDescent="0.25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idden="1" outlineLevel="2" x14ac:dyDescent="0.25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idden="1" outlineLevel="2" x14ac:dyDescent="0.25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idden="1" outlineLevel="2" x14ac:dyDescent="0.25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idden="1" outlineLevel="2" x14ac:dyDescent="0.25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25">
      <c r="A419" s="8" t="s">
        <v>1288</v>
      </c>
      <c r="E419">
        <f>SUBTOTAL(9,E392:E418)</f>
        <v>3493</v>
      </c>
    </row>
    <row r="420" spans="1:7" hidden="1" outlineLevel="2" x14ac:dyDescent="0.25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25">
      <c r="A421" s="8" t="s">
        <v>1289</v>
      </c>
      <c r="E421">
        <f>SUBTOTAL(9,E420:E420)</f>
        <v>96</v>
      </c>
    </row>
    <row r="422" spans="1:7" hidden="1" outlineLevel="2" x14ac:dyDescent="0.25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idden="1" outlineLevel="2" x14ac:dyDescent="0.25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idden="1" outlineLevel="2" x14ac:dyDescent="0.25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idden="1" outlineLevel="2" x14ac:dyDescent="0.25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idden="1" outlineLevel="2" x14ac:dyDescent="0.25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idden="1" outlineLevel="2" x14ac:dyDescent="0.25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idden="1" outlineLevel="2" x14ac:dyDescent="0.25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idden="1" outlineLevel="2" x14ac:dyDescent="0.25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idden="1" outlineLevel="2" x14ac:dyDescent="0.25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idden="1" outlineLevel="2" x14ac:dyDescent="0.25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idden="1" outlineLevel="2" x14ac:dyDescent="0.25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idden="1" outlineLevel="2" x14ac:dyDescent="0.25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idden="1" outlineLevel="2" x14ac:dyDescent="0.25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idden="1" outlineLevel="2" x14ac:dyDescent="0.25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idden="1" outlineLevel="2" x14ac:dyDescent="0.25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idden="1" outlineLevel="2" x14ac:dyDescent="0.25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idden="1" outlineLevel="2" x14ac:dyDescent="0.25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idden="1" outlineLevel="2" x14ac:dyDescent="0.25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idden="1" outlineLevel="2" x14ac:dyDescent="0.25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idden="1" outlineLevel="2" x14ac:dyDescent="0.25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idden="1" outlineLevel="2" x14ac:dyDescent="0.25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idden="1" outlineLevel="2" x14ac:dyDescent="0.25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idden="1" outlineLevel="2" x14ac:dyDescent="0.25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idden="1" outlineLevel="2" x14ac:dyDescent="0.25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idden="1" outlineLevel="2" x14ac:dyDescent="0.25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idden="1" outlineLevel="2" x14ac:dyDescent="0.25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idden="1" outlineLevel="2" x14ac:dyDescent="0.25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idden="1" outlineLevel="2" x14ac:dyDescent="0.25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idden="1" outlineLevel="2" x14ac:dyDescent="0.25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idden="1" outlineLevel="2" x14ac:dyDescent="0.25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idden="1" outlineLevel="2" x14ac:dyDescent="0.25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idden="1" outlineLevel="2" x14ac:dyDescent="0.25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idden="1" outlineLevel="2" x14ac:dyDescent="0.25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idden="1" outlineLevel="2" x14ac:dyDescent="0.25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idden="1" outlineLevel="2" x14ac:dyDescent="0.25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idden="1" outlineLevel="2" x14ac:dyDescent="0.25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idden="1" outlineLevel="2" x14ac:dyDescent="0.25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idden="1" outlineLevel="2" x14ac:dyDescent="0.25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idden="1" outlineLevel="2" x14ac:dyDescent="0.25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idden="1" outlineLevel="2" x14ac:dyDescent="0.25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idden="1" outlineLevel="2" x14ac:dyDescent="0.25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idden="1" outlineLevel="2" x14ac:dyDescent="0.25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idden="1" outlineLevel="2" x14ac:dyDescent="0.25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idden="1" outlineLevel="2" x14ac:dyDescent="0.25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idden="1" outlineLevel="2" x14ac:dyDescent="0.25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idden="1" outlineLevel="2" x14ac:dyDescent="0.25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idden="1" outlineLevel="2" x14ac:dyDescent="0.25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idden="1" outlineLevel="2" x14ac:dyDescent="0.25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idden="1" outlineLevel="2" x14ac:dyDescent="0.25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idden="1" outlineLevel="2" x14ac:dyDescent="0.25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idden="1" outlineLevel="2" x14ac:dyDescent="0.25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idden="1" outlineLevel="2" x14ac:dyDescent="0.25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idden="1" outlineLevel="2" x14ac:dyDescent="0.25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idden="1" outlineLevel="2" x14ac:dyDescent="0.25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idden="1" outlineLevel="2" x14ac:dyDescent="0.25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idden="1" outlineLevel="2" x14ac:dyDescent="0.25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idden="1" outlineLevel="2" x14ac:dyDescent="0.25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idden="1" outlineLevel="2" x14ac:dyDescent="0.25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idden="1" outlineLevel="2" x14ac:dyDescent="0.25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idden="1" outlineLevel="2" x14ac:dyDescent="0.25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idden="1" outlineLevel="2" x14ac:dyDescent="0.25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idden="1" outlineLevel="2" x14ac:dyDescent="0.25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idden="1" outlineLevel="2" x14ac:dyDescent="0.25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idden="1" outlineLevel="2" x14ac:dyDescent="0.25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idden="1" outlineLevel="2" x14ac:dyDescent="0.25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idden="1" outlineLevel="2" x14ac:dyDescent="0.25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idden="1" outlineLevel="2" x14ac:dyDescent="0.25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idden="1" outlineLevel="2" x14ac:dyDescent="0.25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idden="1" outlineLevel="2" x14ac:dyDescent="0.25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idden="1" outlineLevel="2" x14ac:dyDescent="0.25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idden="1" outlineLevel="2" x14ac:dyDescent="0.25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idden="1" outlineLevel="2" x14ac:dyDescent="0.25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idden="1" outlineLevel="2" x14ac:dyDescent="0.25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idden="1" outlineLevel="2" x14ac:dyDescent="0.25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idden="1" outlineLevel="2" x14ac:dyDescent="0.25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idden="1" outlineLevel="2" x14ac:dyDescent="0.25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idden="1" outlineLevel="2" x14ac:dyDescent="0.25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idden="1" outlineLevel="2" x14ac:dyDescent="0.25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idden="1" outlineLevel="2" x14ac:dyDescent="0.25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idden="1" outlineLevel="2" x14ac:dyDescent="0.25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idden="1" outlineLevel="2" x14ac:dyDescent="0.25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idden="1" outlineLevel="2" x14ac:dyDescent="0.25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idden="1" outlineLevel="2" x14ac:dyDescent="0.25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idden="1" outlineLevel="2" x14ac:dyDescent="0.25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idden="1" outlineLevel="2" x14ac:dyDescent="0.25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idden="1" outlineLevel="2" x14ac:dyDescent="0.25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idden="1" outlineLevel="2" x14ac:dyDescent="0.25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idden="1" outlineLevel="2" x14ac:dyDescent="0.25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idden="1" outlineLevel="2" x14ac:dyDescent="0.25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idden="1" outlineLevel="2" x14ac:dyDescent="0.25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idden="1" outlineLevel="2" x14ac:dyDescent="0.25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idden="1" outlineLevel="2" x14ac:dyDescent="0.25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idden="1" outlineLevel="2" x14ac:dyDescent="0.25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idden="1" outlineLevel="2" x14ac:dyDescent="0.25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idden="1" outlineLevel="2" x14ac:dyDescent="0.25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idden="1" outlineLevel="2" x14ac:dyDescent="0.25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idden="1" outlineLevel="2" x14ac:dyDescent="0.25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idden="1" outlineLevel="2" x14ac:dyDescent="0.25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idden="1" outlineLevel="2" x14ac:dyDescent="0.25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idden="1" outlineLevel="2" x14ac:dyDescent="0.25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idden="1" outlineLevel="2" x14ac:dyDescent="0.25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idden="1" outlineLevel="2" x14ac:dyDescent="0.25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idden="1" outlineLevel="2" x14ac:dyDescent="0.25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idden="1" outlineLevel="2" x14ac:dyDescent="0.25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idden="1" outlineLevel="2" x14ac:dyDescent="0.25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idden="1" outlineLevel="2" x14ac:dyDescent="0.25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idden="1" outlineLevel="2" x14ac:dyDescent="0.25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idden="1" outlineLevel="2" x14ac:dyDescent="0.25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idden="1" outlineLevel="2" x14ac:dyDescent="0.25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idden="1" outlineLevel="2" x14ac:dyDescent="0.25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idden="1" outlineLevel="2" x14ac:dyDescent="0.25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idden="1" outlineLevel="2" x14ac:dyDescent="0.25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idden="1" outlineLevel="2" x14ac:dyDescent="0.25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idden="1" outlineLevel="2" x14ac:dyDescent="0.25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idden="1" outlineLevel="2" x14ac:dyDescent="0.25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idden="1" outlineLevel="2" x14ac:dyDescent="0.25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idden="1" outlineLevel="2" x14ac:dyDescent="0.25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idden="1" outlineLevel="2" x14ac:dyDescent="0.25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idden="1" outlineLevel="2" x14ac:dyDescent="0.25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idden="1" outlineLevel="2" x14ac:dyDescent="0.25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idden="1" outlineLevel="2" x14ac:dyDescent="0.25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idden="1" outlineLevel="2" x14ac:dyDescent="0.25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idden="1" outlineLevel="2" x14ac:dyDescent="0.25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idden="1" outlineLevel="2" x14ac:dyDescent="0.25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idden="1" outlineLevel="2" x14ac:dyDescent="0.25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idden="1" outlineLevel="2" x14ac:dyDescent="0.25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idden="1" outlineLevel="2" x14ac:dyDescent="0.25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idden="1" outlineLevel="2" x14ac:dyDescent="0.25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idden="1" outlineLevel="2" x14ac:dyDescent="0.25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idden="1" outlineLevel="2" x14ac:dyDescent="0.25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idden="1" outlineLevel="2" x14ac:dyDescent="0.25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idden="1" outlineLevel="2" x14ac:dyDescent="0.25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idden="1" outlineLevel="2" x14ac:dyDescent="0.25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idden="1" outlineLevel="2" x14ac:dyDescent="0.25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idden="1" outlineLevel="2" x14ac:dyDescent="0.25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idden="1" outlineLevel="2" x14ac:dyDescent="0.25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idden="1" outlineLevel="2" x14ac:dyDescent="0.25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idden="1" outlineLevel="2" x14ac:dyDescent="0.25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25">
      <c r="A560" s="8" t="s">
        <v>1290</v>
      </c>
      <c r="E560">
        <f>SUBTOTAL(9,E422:E559)</f>
        <v>14971</v>
      </c>
    </row>
    <row r="561" spans="1:7" hidden="1" outlineLevel="2" x14ac:dyDescent="0.25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idden="1" outlineLevel="2" x14ac:dyDescent="0.25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idden="1" outlineLevel="2" x14ac:dyDescent="0.25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idden="1" outlineLevel="2" x14ac:dyDescent="0.25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idden="1" outlineLevel="2" x14ac:dyDescent="0.25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idden="1" outlineLevel="2" x14ac:dyDescent="0.25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idden="1" outlineLevel="2" x14ac:dyDescent="0.25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idden="1" outlineLevel="2" x14ac:dyDescent="0.25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idden="1" outlineLevel="2" x14ac:dyDescent="0.25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idden="1" outlineLevel="2" x14ac:dyDescent="0.25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idden="1" outlineLevel="2" x14ac:dyDescent="0.25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idden="1" outlineLevel="2" x14ac:dyDescent="0.25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25">
      <c r="A573" s="8" t="s">
        <v>1291</v>
      </c>
      <c r="E573">
        <f>SUBTOTAL(9,E561:E572)</f>
        <v>1122</v>
      </c>
    </row>
    <row r="574" spans="1:7" hidden="1" outlineLevel="2" x14ac:dyDescent="0.25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idden="1" outlineLevel="2" x14ac:dyDescent="0.25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idden="1" outlineLevel="2" x14ac:dyDescent="0.25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idden="1" outlineLevel="2" x14ac:dyDescent="0.25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idden="1" outlineLevel="2" x14ac:dyDescent="0.25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idden="1" outlineLevel="2" x14ac:dyDescent="0.25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idden="1" outlineLevel="2" x14ac:dyDescent="0.25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idden="1" outlineLevel="2" x14ac:dyDescent="0.25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idden="1" outlineLevel="2" x14ac:dyDescent="0.25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idden="1" outlineLevel="2" x14ac:dyDescent="0.25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idden="1" outlineLevel="2" x14ac:dyDescent="0.25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idden="1" outlineLevel="2" x14ac:dyDescent="0.25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idden="1" outlineLevel="2" x14ac:dyDescent="0.25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idden="1" outlineLevel="2" x14ac:dyDescent="0.25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idden="1" outlineLevel="2" x14ac:dyDescent="0.25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idden="1" outlineLevel="2" x14ac:dyDescent="0.25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idden="1" outlineLevel="2" x14ac:dyDescent="0.25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idden="1" outlineLevel="2" x14ac:dyDescent="0.25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idden="1" outlineLevel="2" x14ac:dyDescent="0.25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idden="1" outlineLevel="2" x14ac:dyDescent="0.25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idden="1" outlineLevel="2" x14ac:dyDescent="0.25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idden="1" outlineLevel="2" x14ac:dyDescent="0.25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idden="1" outlineLevel="2" x14ac:dyDescent="0.25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idden="1" outlineLevel="2" x14ac:dyDescent="0.25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idden="1" outlineLevel="2" x14ac:dyDescent="0.25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idden="1" outlineLevel="2" x14ac:dyDescent="0.25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idden="1" outlineLevel="2" x14ac:dyDescent="0.25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idden="1" outlineLevel="2" x14ac:dyDescent="0.25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idden="1" outlineLevel="2" x14ac:dyDescent="0.25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idden="1" outlineLevel="2" x14ac:dyDescent="0.25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idden="1" outlineLevel="2" x14ac:dyDescent="0.25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idden="1" outlineLevel="2" x14ac:dyDescent="0.25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idden="1" outlineLevel="2" x14ac:dyDescent="0.25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idden="1" outlineLevel="2" x14ac:dyDescent="0.25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idden="1" outlineLevel="2" x14ac:dyDescent="0.25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idden="1" outlineLevel="2" x14ac:dyDescent="0.25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idden="1" outlineLevel="2" x14ac:dyDescent="0.25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idden="1" outlineLevel="2" x14ac:dyDescent="0.25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idden="1" outlineLevel="2" x14ac:dyDescent="0.25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idden="1" outlineLevel="2" x14ac:dyDescent="0.25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idden="1" outlineLevel="2" x14ac:dyDescent="0.25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idden="1" outlineLevel="2" x14ac:dyDescent="0.25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idden="1" outlineLevel="2" x14ac:dyDescent="0.25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idden="1" outlineLevel="2" x14ac:dyDescent="0.25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idden="1" outlineLevel="2" x14ac:dyDescent="0.25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idden="1" outlineLevel="2" x14ac:dyDescent="0.25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idden="1" outlineLevel="2" x14ac:dyDescent="0.25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idden="1" outlineLevel="2" x14ac:dyDescent="0.25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idden="1" outlineLevel="2" x14ac:dyDescent="0.25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idden="1" outlineLevel="2" x14ac:dyDescent="0.25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idden="1" outlineLevel="2" x14ac:dyDescent="0.25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idden="1" outlineLevel="2" x14ac:dyDescent="0.25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idden="1" outlineLevel="2" x14ac:dyDescent="0.25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idden="1" outlineLevel="2" x14ac:dyDescent="0.25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idden="1" outlineLevel="2" x14ac:dyDescent="0.25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idden="1" outlineLevel="2" x14ac:dyDescent="0.25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idden="1" outlineLevel="2" x14ac:dyDescent="0.25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idden="1" outlineLevel="2" x14ac:dyDescent="0.25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idden="1" outlineLevel="2" x14ac:dyDescent="0.25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idden="1" outlineLevel="2" x14ac:dyDescent="0.25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idden="1" outlineLevel="2" x14ac:dyDescent="0.25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idden="1" outlineLevel="2" x14ac:dyDescent="0.25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idden="1" outlineLevel="2" x14ac:dyDescent="0.25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idden="1" outlineLevel="2" x14ac:dyDescent="0.25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idden="1" outlineLevel="2" x14ac:dyDescent="0.25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idden="1" outlineLevel="2" x14ac:dyDescent="0.25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idden="1" outlineLevel="2" x14ac:dyDescent="0.25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idden="1" outlineLevel="2" x14ac:dyDescent="0.25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idden="1" outlineLevel="2" x14ac:dyDescent="0.25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25">
      <c r="A643" s="8" t="s">
        <v>1292</v>
      </c>
      <c r="E643">
        <f>SUBTOTAL(9,E574:E642)</f>
        <v>7364</v>
      </c>
    </row>
    <row r="644" spans="1:7" hidden="1" outlineLevel="2" x14ac:dyDescent="0.25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idden="1" outlineLevel="2" x14ac:dyDescent="0.25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idden="1" outlineLevel="2" x14ac:dyDescent="0.25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idden="1" outlineLevel="2" x14ac:dyDescent="0.25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idden="1" outlineLevel="2" x14ac:dyDescent="0.25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idden="1" outlineLevel="2" x14ac:dyDescent="0.25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idden="1" outlineLevel="2" x14ac:dyDescent="0.25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idden="1" outlineLevel="2" x14ac:dyDescent="0.25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idden="1" outlineLevel="2" x14ac:dyDescent="0.25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idden="1" outlineLevel="2" x14ac:dyDescent="0.25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idden="1" outlineLevel="2" x14ac:dyDescent="0.25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idden="1" outlineLevel="2" x14ac:dyDescent="0.25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idden="1" outlineLevel="2" x14ac:dyDescent="0.25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idden="1" outlineLevel="2" x14ac:dyDescent="0.25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idden="1" outlineLevel="2" x14ac:dyDescent="0.25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idden="1" outlineLevel="2" x14ac:dyDescent="0.25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idden="1" outlineLevel="2" x14ac:dyDescent="0.25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idden="1" outlineLevel="2" x14ac:dyDescent="0.25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25">
      <c r="A662" s="8" t="s">
        <v>1293</v>
      </c>
      <c r="E662">
        <f>SUBTOTAL(9,E644:E661)</f>
        <v>2367</v>
      </c>
    </row>
    <row r="663" spans="1:7" hidden="1" outlineLevel="2" x14ac:dyDescent="0.25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idden="1" outlineLevel="2" x14ac:dyDescent="0.25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idden="1" outlineLevel="2" x14ac:dyDescent="0.25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idden="1" outlineLevel="2" x14ac:dyDescent="0.25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idden="1" outlineLevel="2" x14ac:dyDescent="0.25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idden="1" outlineLevel="2" x14ac:dyDescent="0.25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idden="1" outlineLevel="2" x14ac:dyDescent="0.25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idden="1" outlineLevel="2" x14ac:dyDescent="0.25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idden="1" outlineLevel="2" x14ac:dyDescent="0.25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idden="1" outlineLevel="2" x14ac:dyDescent="0.25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idden="1" outlineLevel="2" x14ac:dyDescent="0.25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idden="1" outlineLevel="2" x14ac:dyDescent="0.25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idden="1" outlineLevel="2" x14ac:dyDescent="0.25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idden="1" outlineLevel="2" x14ac:dyDescent="0.25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idden="1" outlineLevel="2" x14ac:dyDescent="0.25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idden="1" outlineLevel="2" x14ac:dyDescent="0.25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idden="1" outlineLevel="2" x14ac:dyDescent="0.25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idden="1" outlineLevel="2" x14ac:dyDescent="0.25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idden="1" outlineLevel="2" x14ac:dyDescent="0.25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idden="1" outlineLevel="2" x14ac:dyDescent="0.25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idden="1" outlineLevel="2" x14ac:dyDescent="0.25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idden="1" outlineLevel="2" x14ac:dyDescent="0.25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idden="1" outlineLevel="2" x14ac:dyDescent="0.25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idden="1" outlineLevel="2" x14ac:dyDescent="0.25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idden="1" outlineLevel="2" x14ac:dyDescent="0.25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idden="1" outlineLevel="2" x14ac:dyDescent="0.25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idden="1" outlineLevel="2" x14ac:dyDescent="0.25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idden="1" outlineLevel="2" x14ac:dyDescent="0.25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idden="1" outlineLevel="2" x14ac:dyDescent="0.25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idden="1" outlineLevel="2" x14ac:dyDescent="0.25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idden="1" outlineLevel="2" x14ac:dyDescent="0.25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idden="1" outlineLevel="2" x14ac:dyDescent="0.25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idden="1" outlineLevel="2" x14ac:dyDescent="0.25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idden="1" outlineLevel="2" x14ac:dyDescent="0.25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idden="1" outlineLevel="2" x14ac:dyDescent="0.25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idden="1" outlineLevel="2" x14ac:dyDescent="0.25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idden="1" outlineLevel="2" x14ac:dyDescent="0.25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idden="1" outlineLevel="2" x14ac:dyDescent="0.25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idden="1" outlineLevel="2" x14ac:dyDescent="0.25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idden="1" outlineLevel="2" x14ac:dyDescent="0.25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idden="1" outlineLevel="2" x14ac:dyDescent="0.25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idden="1" outlineLevel="2" x14ac:dyDescent="0.25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idden="1" outlineLevel="2" x14ac:dyDescent="0.25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idden="1" outlineLevel="2" x14ac:dyDescent="0.25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idden="1" outlineLevel="2" x14ac:dyDescent="0.25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idden="1" outlineLevel="2" x14ac:dyDescent="0.25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idden="1" outlineLevel="2" x14ac:dyDescent="0.25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idden="1" outlineLevel="2" x14ac:dyDescent="0.25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idden="1" outlineLevel="2" x14ac:dyDescent="0.25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idden="1" outlineLevel="2" x14ac:dyDescent="0.25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idden="1" outlineLevel="2" x14ac:dyDescent="0.25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idden="1" outlineLevel="2" x14ac:dyDescent="0.25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idden="1" outlineLevel="2" x14ac:dyDescent="0.25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idden="1" outlineLevel="2" x14ac:dyDescent="0.25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idden="1" outlineLevel="2" x14ac:dyDescent="0.25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idden="1" outlineLevel="2" x14ac:dyDescent="0.25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idden="1" outlineLevel="2" x14ac:dyDescent="0.25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idden="1" outlineLevel="2" x14ac:dyDescent="0.25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idden="1" outlineLevel="2" x14ac:dyDescent="0.25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idden="1" outlineLevel="2" x14ac:dyDescent="0.25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idden="1" outlineLevel="2" x14ac:dyDescent="0.25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idden="1" outlineLevel="2" x14ac:dyDescent="0.25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idden="1" outlineLevel="2" x14ac:dyDescent="0.25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idden="1" outlineLevel="2" x14ac:dyDescent="0.25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idden="1" outlineLevel="2" x14ac:dyDescent="0.25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idden="1" outlineLevel="2" x14ac:dyDescent="0.25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idden="1" outlineLevel="2" x14ac:dyDescent="0.25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idden="1" outlineLevel="2" x14ac:dyDescent="0.25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idden="1" outlineLevel="2" x14ac:dyDescent="0.25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idden="1" outlineLevel="2" x14ac:dyDescent="0.25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idden="1" outlineLevel="2" x14ac:dyDescent="0.25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idden="1" outlineLevel="2" x14ac:dyDescent="0.25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idden="1" outlineLevel="2" x14ac:dyDescent="0.25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idden="1" outlineLevel="2" x14ac:dyDescent="0.25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idden="1" outlineLevel="2" x14ac:dyDescent="0.25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idden="1" outlineLevel="2" x14ac:dyDescent="0.25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idden="1" outlineLevel="2" x14ac:dyDescent="0.25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idden="1" outlineLevel="2" x14ac:dyDescent="0.25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idden="1" outlineLevel="2" x14ac:dyDescent="0.25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idden="1" outlineLevel="2" x14ac:dyDescent="0.25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idden="1" outlineLevel="2" x14ac:dyDescent="0.25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idden="1" outlineLevel="2" x14ac:dyDescent="0.25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idden="1" outlineLevel="2" x14ac:dyDescent="0.25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idden="1" outlineLevel="2" x14ac:dyDescent="0.25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idden="1" outlineLevel="2" x14ac:dyDescent="0.25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idden="1" outlineLevel="2" x14ac:dyDescent="0.25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idden="1" outlineLevel="2" x14ac:dyDescent="0.25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idden="1" outlineLevel="2" x14ac:dyDescent="0.25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idden="1" outlineLevel="2" x14ac:dyDescent="0.25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idden="1" outlineLevel="2" x14ac:dyDescent="0.25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idden="1" outlineLevel="2" x14ac:dyDescent="0.25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idden="1" outlineLevel="2" x14ac:dyDescent="0.25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idden="1" outlineLevel="2" x14ac:dyDescent="0.25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idden="1" outlineLevel="2" x14ac:dyDescent="0.25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idden="1" outlineLevel="2" x14ac:dyDescent="0.25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idden="1" outlineLevel="2" x14ac:dyDescent="0.25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idden="1" outlineLevel="2" x14ac:dyDescent="0.25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idden="1" outlineLevel="2" x14ac:dyDescent="0.25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idden="1" outlineLevel="2" x14ac:dyDescent="0.25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idden="1" outlineLevel="2" x14ac:dyDescent="0.25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idden="1" outlineLevel="2" x14ac:dyDescent="0.25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idden="1" outlineLevel="2" x14ac:dyDescent="0.25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idden="1" outlineLevel="2" x14ac:dyDescent="0.25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idden="1" outlineLevel="2" x14ac:dyDescent="0.25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idden="1" outlineLevel="2" x14ac:dyDescent="0.25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idden="1" outlineLevel="2" x14ac:dyDescent="0.25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idden="1" outlineLevel="2" x14ac:dyDescent="0.25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idden="1" outlineLevel="2" x14ac:dyDescent="0.25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idden="1" outlineLevel="2" x14ac:dyDescent="0.25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idden="1" outlineLevel="2" x14ac:dyDescent="0.25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idden="1" outlineLevel="2" x14ac:dyDescent="0.25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idden="1" outlineLevel="2" x14ac:dyDescent="0.25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idden="1" outlineLevel="2" x14ac:dyDescent="0.25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idden="1" outlineLevel="2" x14ac:dyDescent="0.25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idden="1" outlineLevel="2" x14ac:dyDescent="0.25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idden="1" outlineLevel="2" x14ac:dyDescent="0.25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idden="1" outlineLevel="2" x14ac:dyDescent="0.25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idden="1" outlineLevel="2" x14ac:dyDescent="0.25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idden="1" outlineLevel="2" x14ac:dyDescent="0.25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idden="1" outlineLevel="2" x14ac:dyDescent="0.25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idden="1" outlineLevel="2" x14ac:dyDescent="0.25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idden="1" outlineLevel="2" x14ac:dyDescent="0.25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idden="1" outlineLevel="2" x14ac:dyDescent="0.25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idden="1" outlineLevel="2" x14ac:dyDescent="0.25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idden="1" outlineLevel="2" x14ac:dyDescent="0.25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idden="1" outlineLevel="2" x14ac:dyDescent="0.25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idden="1" outlineLevel="2" x14ac:dyDescent="0.25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idden="1" outlineLevel="2" x14ac:dyDescent="0.25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idden="1" outlineLevel="2" x14ac:dyDescent="0.25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idden="1" outlineLevel="2" x14ac:dyDescent="0.25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idden="1" outlineLevel="2" x14ac:dyDescent="0.25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idden="1" outlineLevel="2" x14ac:dyDescent="0.25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idden="1" outlineLevel="2" x14ac:dyDescent="0.25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idden="1" outlineLevel="2" x14ac:dyDescent="0.25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idden="1" outlineLevel="2" x14ac:dyDescent="0.25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idden="1" outlineLevel="2" x14ac:dyDescent="0.25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idden="1" outlineLevel="2" x14ac:dyDescent="0.25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idden="1" outlineLevel="2" x14ac:dyDescent="0.25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idden="1" outlineLevel="2" x14ac:dyDescent="0.25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idden="1" outlineLevel="2" x14ac:dyDescent="0.25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idden="1" outlineLevel="2" x14ac:dyDescent="0.25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idden="1" outlineLevel="2" x14ac:dyDescent="0.25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idden="1" outlineLevel="2" x14ac:dyDescent="0.25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idden="1" outlineLevel="2" x14ac:dyDescent="0.25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idden="1" outlineLevel="2" x14ac:dyDescent="0.25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idden="1" outlineLevel="2" x14ac:dyDescent="0.25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idden="1" outlineLevel="2" x14ac:dyDescent="0.25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idden="1" outlineLevel="2" x14ac:dyDescent="0.25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idden="1" outlineLevel="2" x14ac:dyDescent="0.25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idden="1" outlineLevel="2" x14ac:dyDescent="0.25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idden="1" outlineLevel="2" x14ac:dyDescent="0.25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idden="1" outlineLevel="2" x14ac:dyDescent="0.25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idden="1" outlineLevel="2" x14ac:dyDescent="0.25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idden="1" outlineLevel="2" x14ac:dyDescent="0.25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idden="1" outlineLevel="2" x14ac:dyDescent="0.25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idden="1" outlineLevel="2" x14ac:dyDescent="0.25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idden="1" outlineLevel="2" x14ac:dyDescent="0.25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idden="1" outlineLevel="2" x14ac:dyDescent="0.25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idden="1" outlineLevel="2" x14ac:dyDescent="0.25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idden="1" outlineLevel="2" x14ac:dyDescent="0.25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idden="1" outlineLevel="2" x14ac:dyDescent="0.25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idden="1" outlineLevel="2" x14ac:dyDescent="0.25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idden="1" outlineLevel="2" x14ac:dyDescent="0.25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idden="1" outlineLevel="2" x14ac:dyDescent="0.25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idden="1" outlineLevel="2" x14ac:dyDescent="0.25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idden="1" outlineLevel="2" x14ac:dyDescent="0.25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idden="1" outlineLevel="2" x14ac:dyDescent="0.25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idden="1" outlineLevel="2" x14ac:dyDescent="0.25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idden="1" outlineLevel="2" x14ac:dyDescent="0.25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idden="1" outlineLevel="2" x14ac:dyDescent="0.25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idden="1" outlineLevel="2" x14ac:dyDescent="0.25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idden="1" outlineLevel="2" x14ac:dyDescent="0.25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idden="1" outlineLevel="2" x14ac:dyDescent="0.25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idden="1" outlineLevel="2" x14ac:dyDescent="0.25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25">
      <c r="A837" s="8" t="s">
        <v>1294</v>
      </c>
      <c r="E837">
        <f>SUBTOTAL(9,E663:E836)</f>
        <v>16257</v>
      </c>
    </row>
    <row r="838" spans="1:7" hidden="1" outlineLevel="2" x14ac:dyDescent="0.25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idden="1" outlineLevel="2" x14ac:dyDescent="0.25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idden="1" outlineLevel="2" x14ac:dyDescent="0.25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25">
      <c r="A841" s="8" t="s">
        <v>1295</v>
      </c>
      <c r="E841">
        <f>SUBTOTAL(9,E838:E840)</f>
        <v>389</v>
      </c>
    </row>
    <row r="842" spans="1:7" hidden="1" outlineLevel="2" x14ac:dyDescent="0.25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idden="1" outlineLevel="2" x14ac:dyDescent="0.25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idden="1" outlineLevel="2" x14ac:dyDescent="0.25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idden="1" outlineLevel="2" x14ac:dyDescent="0.25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idden="1" outlineLevel="2" x14ac:dyDescent="0.25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idden="1" outlineLevel="2" x14ac:dyDescent="0.25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25">
      <c r="A848" s="8" t="s">
        <v>1296</v>
      </c>
      <c r="E848">
        <f>SUBTOTAL(9,E842:E847)</f>
        <v>421</v>
      </c>
    </row>
    <row r="849" spans="1:7" hidden="1" outlineLevel="2" x14ac:dyDescent="0.25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idden="1" outlineLevel="2" x14ac:dyDescent="0.25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idden="1" outlineLevel="2" x14ac:dyDescent="0.25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idden="1" outlineLevel="2" x14ac:dyDescent="0.25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25">
      <c r="A853" s="8" t="s">
        <v>1297</v>
      </c>
      <c r="E853">
        <f>SUBTOTAL(9,E849:E852)</f>
        <v>523</v>
      </c>
    </row>
    <row r="854" spans="1:7" hidden="1" outlineLevel="2" x14ac:dyDescent="0.25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idden="1" outlineLevel="2" x14ac:dyDescent="0.25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idden="1" outlineLevel="2" x14ac:dyDescent="0.25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idden="1" outlineLevel="2" x14ac:dyDescent="0.25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idden="1" outlineLevel="2" x14ac:dyDescent="0.25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idden="1" outlineLevel="2" x14ac:dyDescent="0.25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idden="1" outlineLevel="2" x14ac:dyDescent="0.25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idden="1" outlineLevel="2" x14ac:dyDescent="0.25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25">
      <c r="A862" s="8" t="s">
        <v>1298</v>
      </c>
      <c r="E862">
        <f>SUBTOTAL(9,E854:E861)</f>
        <v>785</v>
      </c>
    </row>
    <row r="863" spans="1:7" hidden="1" outlineLevel="2" x14ac:dyDescent="0.25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idden="1" outlineLevel="2" x14ac:dyDescent="0.25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25">
      <c r="A865" s="8" t="s">
        <v>1299</v>
      </c>
      <c r="E865">
        <f>SUBTOTAL(9,E863:E864)</f>
        <v>202</v>
      </c>
    </row>
    <row r="866" spans="1:7" hidden="1" outlineLevel="2" x14ac:dyDescent="0.25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idden="1" outlineLevel="2" x14ac:dyDescent="0.25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idden="1" outlineLevel="2" x14ac:dyDescent="0.25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idden="1" outlineLevel="2" x14ac:dyDescent="0.25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idden="1" outlineLevel="2" x14ac:dyDescent="0.25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idden="1" outlineLevel="2" x14ac:dyDescent="0.25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idden="1" outlineLevel="2" x14ac:dyDescent="0.25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idden="1" outlineLevel="2" x14ac:dyDescent="0.25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idden="1" outlineLevel="2" x14ac:dyDescent="0.25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idden="1" outlineLevel="2" x14ac:dyDescent="0.25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idden="1" outlineLevel="2" x14ac:dyDescent="0.25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idden="1" outlineLevel="2" x14ac:dyDescent="0.25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idden="1" outlineLevel="2" x14ac:dyDescent="0.25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idden="1" outlineLevel="2" x14ac:dyDescent="0.25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idden="1" outlineLevel="2" x14ac:dyDescent="0.25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idden="1" outlineLevel="2" x14ac:dyDescent="0.25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idden="1" outlineLevel="2" x14ac:dyDescent="0.25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idden="1" outlineLevel="2" x14ac:dyDescent="0.25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idden="1" outlineLevel="2" x14ac:dyDescent="0.25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idden="1" outlineLevel="2" x14ac:dyDescent="0.25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idden="1" outlineLevel="2" x14ac:dyDescent="0.25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idden="1" outlineLevel="2" x14ac:dyDescent="0.25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idden="1" outlineLevel="2" x14ac:dyDescent="0.25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idden="1" outlineLevel="2" x14ac:dyDescent="0.25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idden="1" outlineLevel="2" x14ac:dyDescent="0.25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idden="1" outlineLevel="2" x14ac:dyDescent="0.25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idden="1" outlineLevel="2" x14ac:dyDescent="0.25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idden="1" outlineLevel="2" x14ac:dyDescent="0.25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idden="1" outlineLevel="2" x14ac:dyDescent="0.25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idden="1" outlineLevel="2" x14ac:dyDescent="0.25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idden="1" outlineLevel="2" x14ac:dyDescent="0.25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idden="1" outlineLevel="2" x14ac:dyDescent="0.25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idden="1" outlineLevel="2" x14ac:dyDescent="0.25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idden="1" outlineLevel="2" x14ac:dyDescent="0.25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idden="1" outlineLevel="2" x14ac:dyDescent="0.25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idden="1" outlineLevel="2" x14ac:dyDescent="0.25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idden="1" outlineLevel="2" x14ac:dyDescent="0.25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idden="1" outlineLevel="2" x14ac:dyDescent="0.25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idden="1" outlineLevel="2" x14ac:dyDescent="0.25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idden="1" outlineLevel="2" x14ac:dyDescent="0.25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idden="1" outlineLevel="2" x14ac:dyDescent="0.25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idden="1" outlineLevel="2" x14ac:dyDescent="0.25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idden="1" outlineLevel="2" x14ac:dyDescent="0.25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idden="1" outlineLevel="2" x14ac:dyDescent="0.25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idden="1" outlineLevel="2" x14ac:dyDescent="0.25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idden="1" outlineLevel="2" x14ac:dyDescent="0.25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idden="1" outlineLevel="2" x14ac:dyDescent="0.25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idden="1" outlineLevel="2" x14ac:dyDescent="0.25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idden="1" outlineLevel="2" x14ac:dyDescent="0.25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idden="1" outlineLevel="2" x14ac:dyDescent="0.25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idden="1" outlineLevel="2" x14ac:dyDescent="0.25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idden="1" outlineLevel="2" x14ac:dyDescent="0.25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idden="1" outlineLevel="2" x14ac:dyDescent="0.25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idden="1" outlineLevel="2" x14ac:dyDescent="0.25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idden="1" outlineLevel="2" x14ac:dyDescent="0.25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idden="1" outlineLevel="2" x14ac:dyDescent="0.25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idden="1" outlineLevel="2" x14ac:dyDescent="0.25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idden="1" outlineLevel="2" x14ac:dyDescent="0.25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idden="1" outlineLevel="2" x14ac:dyDescent="0.25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25">
      <c r="A925" s="8" t="s">
        <v>1300</v>
      </c>
      <c r="E925">
        <f>SUBTOTAL(9,E866:E924)</f>
        <v>7292</v>
      </c>
    </row>
    <row r="926" spans="1:7" hidden="1" outlineLevel="2" x14ac:dyDescent="0.25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25">
      <c r="A927" s="8" t="s">
        <v>1301</v>
      </c>
      <c r="E927">
        <f>SUBTOTAL(9,E926:E926)</f>
        <v>118</v>
      </c>
    </row>
    <row r="928" spans="1:7" hidden="1" outlineLevel="2" x14ac:dyDescent="0.25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idden="1" outlineLevel="2" x14ac:dyDescent="0.25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idden="1" outlineLevel="2" x14ac:dyDescent="0.25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idden="1" outlineLevel="2" x14ac:dyDescent="0.25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idden="1" outlineLevel="2" x14ac:dyDescent="0.25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idden="1" outlineLevel="2" x14ac:dyDescent="0.25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idden="1" outlineLevel="2" x14ac:dyDescent="0.25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idden="1" outlineLevel="2" x14ac:dyDescent="0.25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idden="1" outlineLevel="2" x14ac:dyDescent="0.25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idden="1" outlineLevel="2" x14ac:dyDescent="0.25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25">
      <c r="A938" s="8" t="s">
        <v>1302</v>
      </c>
      <c r="E938">
        <f>SUBTOTAL(9,E928:E937)</f>
        <v>852</v>
      </c>
    </row>
    <row r="939" spans="1:7" hidden="1" outlineLevel="2" x14ac:dyDescent="0.25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idden="1" outlineLevel="2" x14ac:dyDescent="0.25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idden="1" outlineLevel="2" x14ac:dyDescent="0.25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idden="1" outlineLevel="2" x14ac:dyDescent="0.25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idden="1" outlineLevel="2" x14ac:dyDescent="0.25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idden="1" outlineLevel="2" x14ac:dyDescent="0.25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idden="1" outlineLevel="2" x14ac:dyDescent="0.25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idden="1" outlineLevel="2" x14ac:dyDescent="0.25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idden="1" outlineLevel="2" x14ac:dyDescent="0.25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idden="1" outlineLevel="2" x14ac:dyDescent="0.25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idden="1" outlineLevel="2" x14ac:dyDescent="0.25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idden="1" outlineLevel="2" x14ac:dyDescent="0.25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idden="1" outlineLevel="2" x14ac:dyDescent="0.25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idden="1" outlineLevel="2" x14ac:dyDescent="0.25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idden="1" outlineLevel="2" x14ac:dyDescent="0.25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idden="1" outlineLevel="2" x14ac:dyDescent="0.25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idden="1" outlineLevel="2" x14ac:dyDescent="0.25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idden="1" outlineLevel="2" x14ac:dyDescent="0.25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idden="1" outlineLevel="2" x14ac:dyDescent="0.25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idden="1" outlineLevel="2" x14ac:dyDescent="0.25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idden="1" outlineLevel="2" x14ac:dyDescent="0.25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idden="1" outlineLevel="2" x14ac:dyDescent="0.25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idden="1" outlineLevel="2" x14ac:dyDescent="0.25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idden="1" outlineLevel="2" x14ac:dyDescent="0.25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idden="1" outlineLevel="2" x14ac:dyDescent="0.25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idden="1" outlineLevel="2" x14ac:dyDescent="0.25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idden="1" outlineLevel="2" x14ac:dyDescent="0.25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idden="1" outlineLevel="2" x14ac:dyDescent="0.25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idden="1" outlineLevel="2" x14ac:dyDescent="0.25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idden="1" outlineLevel="2" x14ac:dyDescent="0.25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idden="1" outlineLevel="2" x14ac:dyDescent="0.25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idden="1" outlineLevel="2" x14ac:dyDescent="0.25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idden="1" outlineLevel="2" x14ac:dyDescent="0.25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idden="1" outlineLevel="2" x14ac:dyDescent="0.25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idden="1" outlineLevel="2" x14ac:dyDescent="0.25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idden="1" outlineLevel="2" x14ac:dyDescent="0.25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idden="1" outlineLevel="2" x14ac:dyDescent="0.25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idden="1" outlineLevel="2" x14ac:dyDescent="0.25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idden="1" outlineLevel="2" x14ac:dyDescent="0.25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idden="1" outlineLevel="2" x14ac:dyDescent="0.25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idden="1" outlineLevel="2" x14ac:dyDescent="0.25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idden="1" outlineLevel="2" x14ac:dyDescent="0.25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idden="1" outlineLevel="2" x14ac:dyDescent="0.25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idden="1" outlineLevel="2" x14ac:dyDescent="0.25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idden="1" outlineLevel="2" x14ac:dyDescent="0.25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idden="1" outlineLevel="2" x14ac:dyDescent="0.25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idden="1" outlineLevel="2" x14ac:dyDescent="0.25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idden="1" outlineLevel="2" x14ac:dyDescent="0.25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idden="1" outlineLevel="2" x14ac:dyDescent="0.25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idden="1" outlineLevel="2" x14ac:dyDescent="0.25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idden="1" outlineLevel="2" x14ac:dyDescent="0.25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idden="1" outlineLevel="2" x14ac:dyDescent="0.25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idden="1" outlineLevel="2" x14ac:dyDescent="0.25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idden="1" outlineLevel="2" x14ac:dyDescent="0.25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idden="1" outlineLevel="2" x14ac:dyDescent="0.25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idden="1" outlineLevel="2" x14ac:dyDescent="0.25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idden="1" outlineLevel="2" x14ac:dyDescent="0.25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idden="1" outlineLevel="2" x14ac:dyDescent="0.25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idden="1" outlineLevel="2" x14ac:dyDescent="0.25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idden="1" outlineLevel="2" x14ac:dyDescent="0.25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idden="1" outlineLevel="2" x14ac:dyDescent="0.25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idden="1" outlineLevel="2" x14ac:dyDescent="0.25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idden="1" outlineLevel="2" x14ac:dyDescent="0.25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idden="1" outlineLevel="2" x14ac:dyDescent="0.25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idden="1" outlineLevel="2" x14ac:dyDescent="0.25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idden="1" outlineLevel="2" x14ac:dyDescent="0.25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idden="1" outlineLevel="2" x14ac:dyDescent="0.25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idden="1" outlineLevel="2" x14ac:dyDescent="0.25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idden="1" outlineLevel="2" x14ac:dyDescent="0.25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idden="1" outlineLevel="2" x14ac:dyDescent="0.25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idden="1" outlineLevel="2" x14ac:dyDescent="0.25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idden="1" outlineLevel="2" x14ac:dyDescent="0.25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idden="1" outlineLevel="2" x14ac:dyDescent="0.25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idden="1" outlineLevel="2" x14ac:dyDescent="0.25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idden="1" outlineLevel="2" x14ac:dyDescent="0.25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idden="1" outlineLevel="2" x14ac:dyDescent="0.25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idden="1" outlineLevel="2" x14ac:dyDescent="0.25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idden="1" outlineLevel="2" x14ac:dyDescent="0.25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idden="1" outlineLevel="2" x14ac:dyDescent="0.25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idden="1" outlineLevel="2" x14ac:dyDescent="0.25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idden="1" outlineLevel="2" x14ac:dyDescent="0.25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idden="1" outlineLevel="2" x14ac:dyDescent="0.25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idden="1" outlineLevel="2" x14ac:dyDescent="0.25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idden="1" outlineLevel="2" x14ac:dyDescent="0.25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idden="1" outlineLevel="2" x14ac:dyDescent="0.25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idden="1" outlineLevel="2" x14ac:dyDescent="0.25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idden="1" outlineLevel="2" x14ac:dyDescent="0.25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idden="1" outlineLevel="2" x14ac:dyDescent="0.25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idden="1" outlineLevel="2" x14ac:dyDescent="0.25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idden="1" outlineLevel="2" x14ac:dyDescent="0.25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idden="1" outlineLevel="2" x14ac:dyDescent="0.25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idden="1" outlineLevel="2" x14ac:dyDescent="0.25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idden="1" outlineLevel="2" x14ac:dyDescent="0.25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idden="1" outlineLevel="2" x14ac:dyDescent="0.25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idden="1" outlineLevel="2" x14ac:dyDescent="0.25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idden="1" outlineLevel="2" x14ac:dyDescent="0.25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idden="1" outlineLevel="2" x14ac:dyDescent="0.25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idden="1" outlineLevel="2" x14ac:dyDescent="0.25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idden="1" outlineLevel="2" x14ac:dyDescent="0.25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idden="1" outlineLevel="2" x14ac:dyDescent="0.25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idden="1" outlineLevel="2" x14ac:dyDescent="0.25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idden="1" outlineLevel="2" x14ac:dyDescent="0.25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idden="1" outlineLevel="2" x14ac:dyDescent="0.25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idden="1" outlineLevel="2" x14ac:dyDescent="0.25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idden="1" outlineLevel="2" x14ac:dyDescent="0.25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idden="1" outlineLevel="2" x14ac:dyDescent="0.25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idden="1" outlineLevel="2" x14ac:dyDescent="0.25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idden="1" outlineLevel="2" x14ac:dyDescent="0.25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idden="1" outlineLevel="2" x14ac:dyDescent="0.25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idden="1" outlineLevel="2" x14ac:dyDescent="0.25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idden="1" outlineLevel="2" x14ac:dyDescent="0.25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idden="1" outlineLevel="2" x14ac:dyDescent="0.25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idden="1" outlineLevel="2" x14ac:dyDescent="0.25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idden="1" outlineLevel="2" x14ac:dyDescent="0.25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idden="1" outlineLevel="2" x14ac:dyDescent="0.25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idden="1" outlineLevel="2" x14ac:dyDescent="0.25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idden="1" outlineLevel="2" x14ac:dyDescent="0.25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idden="1" outlineLevel="2" x14ac:dyDescent="0.25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idden="1" outlineLevel="2" x14ac:dyDescent="0.25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idden="1" outlineLevel="2" x14ac:dyDescent="0.25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idden="1" outlineLevel="2" x14ac:dyDescent="0.25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idden="1" outlineLevel="2" x14ac:dyDescent="0.25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idden="1" outlineLevel="2" x14ac:dyDescent="0.25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idden="1" outlineLevel="2" x14ac:dyDescent="0.25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idden="1" outlineLevel="2" x14ac:dyDescent="0.25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idden="1" outlineLevel="2" x14ac:dyDescent="0.25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idden="1" outlineLevel="2" x14ac:dyDescent="0.25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25">
      <c r="A1066" s="8" t="s">
        <v>1303</v>
      </c>
      <c r="E1066">
        <f>SUBTOTAL(9,E939:E1065)</f>
        <v>85677</v>
      </c>
    </row>
    <row r="1067" spans="1:7" hidden="1" outlineLevel="2" x14ac:dyDescent="0.25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idden="1" outlineLevel="2" x14ac:dyDescent="0.25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idden="1" outlineLevel="2" x14ac:dyDescent="0.25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idden="1" outlineLevel="2" x14ac:dyDescent="0.25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idden="1" outlineLevel="2" x14ac:dyDescent="0.25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idden="1" outlineLevel="2" x14ac:dyDescent="0.25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idden="1" outlineLevel="2" x14ac:dyDescent="0.25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25">
      <c r="A1074" s="8" t="s">
        <v>1304</v>
      </c>
      <c r="E1074">
        <f>SUBTOTAL(9,E1067:E1073)</f>
        <v>740</v>
      </c>
    </row>
    <row r="1075" spans="1:7" hidden="1" outlineLevel="2" x14ac:dyDescent="0.25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idden="1" outlineLevel="2" x14ac:dyDescent="0.25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idden="1" outlineLevel="2" x14ac:dyDescent="0.25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idden="1" outlineLevel="2" x14ac:dyDescent="0.25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idden="1" outlineLevel="2" x14ac:dyDescent="0.25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idden="1" outlineLevel="2" x14ac:dyDescent="0.25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idden="1" outlineLevel="2" x14ac:dyDescent="0.25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idden="1" outlineLevel="2" x14ac:dyDescent="0.25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25">
      <c r="A1083" s="8" t="s">
        <v>1305</v>
      </c>
      <c r="E1083">
        <f>SUBTOTAL(9,E1075:E1082)</f>
        <v>1018</v>
      </c>
    </row>
    <row r="1084" spans="1:7" hidden="1" outlineLevel="2" x14ac:dyDescent="0.25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idden="1" outlineLevel="2" x14ac:dyDescent="0.25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idden="1" outlineLevel="2" x14ac:dyDescent="0.25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idden="1" outlineLevel="2" x14ac:dyDescent="0.25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idden="1" outlineLevel="2" x14ac:dyDescent="0.25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idden="1" outlineLevel="2" x14ac:dyDescent="0.25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idden="1" outlineLevel="2" x14ac:dyDescent="0.25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idden="1" outlineLevel="2" x14ac:dyDescent="0.25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idden="1" outlineLevel="2" x14ac:dyDescent="0.25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idden="1" outlineLevel="2" x14ac:dyDescent="0.25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idden="1" outlineLevel="2" x14ac:dyDescent="0.25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idden="1" outlineLevel="2" x14ac:dyDescent="0.25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idden="1" outlineLevel="2" x14ac:dyDescent="0.25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idden="1" outlineLevel="2" x14ac:dyDescent="0.25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idden="1" outlineLevel="2" x14ac:dyDescent="0.25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idden="1" outlineLevel="2" x14ac:dyDescent="0.25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idden="1" outlineLevel="2" x14ac:dyDescent="0.25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idden="1" outlineLevel="2" x14ac:dyDescent="0.25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idden="1" outlineLevel="2" x14ac:dyDescent="0.25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idden="1" outlineLevel="2" x14ac:dyDescent="0.25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idden="1" outlineLevel="2" x14ac:dyDescent="0.25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idden="1" outlineLevel="2" x14ac:dyDescent="0.25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idden="1" outlineLevel="2" x14ac:dyDescent="0.25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idden="1" outlineLevel="2" x14ac:dyDescent="0.25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idden="1" outlineLevel="2" x14ac:dyDescent="0.25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idden="1" outlineLevel="2" x14ac:dyDescent="0.25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idden="1" outlineLevel="2" x14ac:dyDescent="0.25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idden="1" outlineLevel="2" x14ac:dyDescent="0.25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idden="1" outlineLevel="2" x14ac:dyDescent="0.25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idden="1" outlineLevel="2" x14ac:dyDescent="0.25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idden="1" outlineLevel="2" x14ac:dyDescent="0.25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idden="1" outlineLevel="2" x14ac:dyDescent="0.25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idden="1" outlineLevel="2" x14ac:dyDescent="0.25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idden="1" outlineLevel="2" x14ac:dyDescent="0.25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idden="1" outlineLevel="2" x14ac:dyDescent="0.25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idden="1" outlineLevel="2" x14ac:dyDescent="0.25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idden="1" outlineLevel="2" x14ac:dyDescent="0.25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idden="1" outlineLevel="2" x14ac:dyDescent="0.25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idden="1" outlineLevel="2" x14ac:dyDescent="0.25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idden="1" outlineLevel="2" x14ac:dyDescent="0.25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idden="1" outlineLevel="2" x14ac:dyDescent="0.25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idden="1" outlineLevel="2" x14ac:dyDescent="0.25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idden="1" outlineLevel="2" x14ac:dyDescent="0.25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idden="1" outlineLevel="2" x14ac:dyDescent="0.25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idden="1" outlineLevel="2" x14ac:dyDescent="0.25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idden="1" outlineLevel="2" x14ac:dyDescent="0.25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idden="1" outlineLevel="2" x14ac:dyDescent="0.25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idden="1" outlineLevel="2" x14ac:dyDescent="0.25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idden="1" outlineLevel="2" x14ac:dyDescent="0.25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idden="1" outlineLevel="2" x14ac:dyDescent="0.25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idden="1" outlineLevel="2" x14ac:dyDescent="0.25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idden="1" outlineLevel="2" x14ac:dyDescent="0.25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idden="1" outlineLevel="2" x14ac:dyDescent="0.25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idden="1" outlineLevel="2" x14ac:dyDescent="0.25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idden="1" outlineLevel="2" x14ac:dyDescent="0.25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idden="1" outlineLevel="2" x14ac:dyDescent="0.25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idden="1" outlineLevel="2" x14ac:dyDescent="0.25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idden="1" outlineLevel="2" x14ac:dyDescent="0.25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idden="1" outlineLevel="2" x14ac:dyDescent="0.25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idden="1" outlineLevel="2" x14ac:dyDescent="0.25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25">
      <c r="A1144" s="8" t="s">
        <v>1306</v>
      </c>
      <c r="E1144">
        <f>SUBTOTAL(9,E1084:E1143)</f>
        <v>5365</v>
      </c>
    </row>
    <row r="1145" spans="1:7" hidden="1" outlineLevel="2" x14ac:dyDescent="0.25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idden="1" outlineLevel="2" x14ac:dyDescent="0.25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idden="1" outlineLevel="2" x14ac:dyDescent="0.25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idden="1" outlineLevel="2" x14ac:dyDescent="0.25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idden="1" outlineLevel="2" x14ac:dyDescent="0.25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idden="1" outlineLevel="2" x14ac:dyDescent="0.25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idden="1" outlineLevel="2" x14ac:dyDescent="0.25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idden="1" outlineLevel="2" x14ac:dyDescent="0.25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idden="1" outlineLevel="2" x14ac:dyDescent="0.25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idden="1" outlineLevel="2" x14ac:dyDescent="0.25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idden="1" outlineLevel="2" x14ac:dyDescent="0.25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idden="1" outlineLevel="2" x14ac:dyDescent="0.25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idden="1" outlineLevel="2" x14ac:dyDescent="0.25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idden="1" outlineLevel="2" x14ac:dyDescent="0.25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idden="1" outlineLevel="2" x14ac:dyDescent="0.25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idden="1" outlineLevel="2" x14ac:dyDescent="0.25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idden="1" outlineLevel="2" x14ac:dyDescent="0.25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idden="1" outlineLevel="2" x14ac:dyDescent="0.25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idden="1" outlineLevel="2" x14ac:dyDescent="0.25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idden="1" outlineLevel="2" x14ac:dyDescent="0.25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idden="1" outlineLevel="2" x14ac:dyDescent="0.25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idden="1" outlineLevel="2" x14ac:dyDescent="0.25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idden="1" outlineLevel="2" x14ac:dyDescent="0.25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idden="1" outlineLevel="2" x14ac:dyDescent="0.25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idden="1" outlineLevel="2" x14ac:dyDescent="0.25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idden="1" outlineLevel="2" x14ac:dyDescent="0.25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idden="1" outlineLevel="2" x14ac:dyDescent="0.25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idden="1" outlineLevel="2" x14ac:dyDescent="0.25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idden="1" outlineLevel="2" x14ac:dyDescent="0.25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idden="1" outlineLevel="2" x14ac:dyDescent="0.25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idden="1" outlineLevel="2" x14ac:dyDescent="0.25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idden="1" outlineLevel="2" x14ac:dyDescent="0.25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idden="1" outlineLevel="2" x14ac:dyDescent="0.25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idden="1" outlineLevel="2" x14ac:dyDescent="0.25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idden="1" outlineLevel="2" x14ac:dyDescent="0.25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idden="1" outlineLevel="2" x14ac:dyDescent="0.25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idden="1" outlineLevel="2" x14ac:dyDescent="0.25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idden="1" outlineLevel="2" x14ac:dyDescent="0.25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idden="1" outlineLevel="2" x14ac:dyDescent="0.25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idden="1" outlineLevel="2" x14ac:dyDescent="0.25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idden="1" outlineLevel="2" x14ac:dyDescent="0.25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idden="1" outlineLevel="2" x14ac:dyDescent="0.25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idden="1" outlineLevel="2" x14ac:dyDescent="0.25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idden="1" outlineLevel="2" x14ac:dyDescent="0.25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idden="1" outlineLevel="2" x14ac:dyDescent="0.25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idden="1" outlineLevel="2" x14ac:dyDescent="0.25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25">
      <c r="A1191" s="8" t="s">
        <v>1307</v>
      </c>
      <c r="E1191">
        <f>SUBTOTAL(9,E1145:E1190)</f>
        <v>6107</v>
      </c>
    </row>
    <row r="1192" spans="1:7" x14ac:dyDescent="0.25">
      <c r="A1192" s="8" t="s">
        <v>1308</v>
      </c>
      <c r="E1192">
        <f>SUBTOTAL(9,E2:E1190)</f>
        <v>194318</v>
      </c>
    </row>
  </sheetData>
  <sortState ref="A1:G1168">
    <sortCondition ref="A1:A1168"/>
  </sortState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2"/>
  <sheetViews>
    <sheetView topLeftCell="B1" zoomScaleNormal="100" workbookViewId="0">
      <selection activeCell="B862" sqref="A1:G1192"/>
    </sheetView>
  </sheetViews>
  <sheetFormatPr defaultRowHeight="15" outlineLevelRow="2" x14ac:dyDescent="0.25"/>
  <cols>
    <col min="1" max="1" width="14.42578125" bestFit="1" customWidth="1"/>
    <col min="2" max="2" width="44.140625" bestFit="1" customWidth="1"/>
    <col min="3" max="3" width="35.7109375" bestFit="1" customWidth="1"/>
    <col min="4" max="4" width="38.42578125" bestFit="1" customWidth="1"/>
    <col min="5" max="5" width="9.7109375" bestFit="1" customWidth="1"/>
    <col min="6" max="6" width="42.5703125" bestFit="1" customWidth="1"/>
    <col min="7" max="7" width="36" bestFit="1" customWidth="1"/>
    <col min="8" max="8" width="42.5703125" bestFit="1" customWidth="1"/>
    <col min="9" max="9" width="7.28515625" bestFit="1" customWidth="1"/>
    <col min="10" max="10" width="4.85546875" bestFit="1" customWidth="1"/>
  </cols>
  <sheetData>
    <row r="1" spans="1:7" x14ac:dyDescent="0.25">
      <c r="A1" t="s">
        <v>1280</v>
      </c>
      <c r="B1" t="s">
        <v>1281</v>
      </c>
      <c r="C1" t="s">
        <v>1272</v>
      </c>
      <c r="D1" t="s">
        <v>1282</v>
      </c>
      <c r="E1" t="s">
        <v>1283</v>
      </c>
      <c r="F1" t="s">
        <v>1285</v>
      </c>
      <c r="G1" t="s">
        <v>1284</v>
      </c>
    </row>
    <row r="2" spans="1:7" ht="15" hidden="1" customHeight="1" outlineLevel="2" x14ac:dyDescent="0.25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t="15" hidden="1" customHeight="1" outlineLevel="2" x14ac:dyDescent="0.25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t="15" hidden="1" customHeight="1" outlineLevel="2" x14ac:dyDescent="0.25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t="15" hidden="1" customHeight="1" outlineLevel="2" x14ac:dyDescent="0.25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t="15" hidden="1" customHeight="1" outlineLevel="2" x14ac:dyDescent="0.25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t="15" hidden="1" customHeight="1" outlineLevel="2" x14ac:dyDescent="0.25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t="15" hidden="1" customHeight="1" outlineLevel="2" x14ac:dyDescent="0.25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t="15" hidden="1" customHeight="1" outlineLevel="2" x14ac:dyDescent="0.25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t="15" hidden="1" customHeight="1" outlineLevel="2" x14ac:dyDescent="0.25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t="15" hidden="1" customHeight="1" outlineLevel="2" x14ac:dyDescent="0.25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t="15" hidden="1" customHeight="1" outlineLevel="2" x14ac:dyDescent="0.25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t="15" hidden="1" customHeight="1" outlineLevel="2" x14ac:dyDescent="0.25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t="15" hidden="1" customHeight="1" outlineLevel="2" x14ac:dyDescent="0.25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t="15" hidden="1" customHeight="1" outlineLevel="2" x14ac:dyDescent="0.25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t="15" hidden="1" customHeight="1" outlineLevel="2" x14ac:dyDescent="0.25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t="15" hidden="1" customHeight="1" outlineLevel="2" x14ac:dyDescent="0.25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t="15" hidden="1" customHeight="1" outlineLevel="2" x14ac:dyDescent="0.25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t="15" hidden="1" customHeight="1" outlineLevel="2" x14ac:dyDescent="0.25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t="15" hidden="1" customHeight="1" outlineLevel="2" x14ac:dyDescent="0.25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t="15" hidden="1" customHeight="1" outlineLevel="2" x14ac:dyDescent="0.25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t="15" hidden="1" customHeight="1" outlineLevel="2" x14ac:dyDescent="0.25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t="15" hidden="1" customHeight="1" outlineLevel="2" x14ac:dyDescent="0.25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t="15" hidden="1" customHeight="1" outlineLevel="2" x14ac:dyDescent="0.25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t="15" hidden="1" customHeight="1" outlineLevel="2" x14ac:dyDescent="0.25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t="15" hidden="1" customHeight="1" outlineLevel="2" x14ac:dyDescent="0.25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t="15" hidden="1" customHeight="1" outlineLevel="2" x14ac:dyDescent="0.25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t="15" hidden="1" customHeight="1" outlineLevel="2" x14ac:dyDescent="0.25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t="15" hidden="1" customHeight="1" outlineLevel="2" x14ac:dyDescent="0.25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t="15" hidden="1" customHeight="1" outlineLevel="2" x14ac:dyDescent="0.25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t="15" hidden="1" customHeight="1" outlineLevel="2" x14ac:dyDescent="0.25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t="15" hidden="1" customHeight="1" outlineLevel="2" x14ac:dyDescent="0.25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t="15" hidden="1" customHeight="1" outlineLevel="2" x14ac:dyDescent="0.25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t="15" hidden="1" customHeight="1" outlineLevel="2" x14ac:dyDescent="0.25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t="15" hidden="1" customHeight="1" outlineLevel="2" x14ac:dyDescent="0.25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t="15" hidden="1" customHeight="1" outlineLevel="2" x14ac:dyDescent="0.25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t="15" hidden="1" customHeight="1" outlineLevel="2" x14ac:dyDescent="0.25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t="15" hidden="1" customHeight="1" outlineLevel="2" x14ac:dyDescent="0.25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t="15" hidden="1" customHeight="1" outlineLevel="2" x14ac:dyDescent="0.25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t="15" hidden="1" customHeight="1" outlineLevel="2" x14ac:dyDescent="0.25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t="15" hidden="1" customHeight="1" outlineLevel="2" x14ac:dyDescent="0.25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t="15" hidden="1" customHeight="1" outlineLevel="2" x14ac:dyDescent="0.25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t="15" hidden="1" customHeight="1" outlineLevel="2" x14ac:dyDescent="0.25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t="15" hidden="1" customHeight="1" outlineLevel="2" x14ac:dyDescent="0.25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t="15" hidden="1" customHeight="1" outlineLevel="2" x14ac:dyDescent="0.25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t="15" hidden="1" customHeight="1" outlineLevel="2" x14ac:dyDescent="0.25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t="15" hidden="1" customHeight="1" outlineLevel="2" x14ac:dyDescent="0.25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t="15" hidden="1" customHeight="1" outlineLevel="2" x14ac:dyDescent="0.25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t="15" hidden="1" customHeight="1" outlineLevel="2" x14ac:dyDescent="0.25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t="15" hidden="1" customHeight="1" outlineLevel="2" x14ac:dyDescent="0.25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t="15" hidden="1" customHeight="1" outlineLevel="2" x14ac:dyDescent="0.25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t="15" hidden="1" customHeight="1" outlineLevel="2" x14ac:dyDescent="0.25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t="15" hidden="1" customHeight="1" outlineLevel="2" x14ac:dyDescent="0.25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t="15" hidden="1" customHeight="1" outlineLevel="2" x14ac:dyDescent="0.25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t="15" hidden="1" customHeight="1" outlineLevel="2" x14ac:dyDescent="0.25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t="15" hidden="1" customHeight="1" outlineLevel="2" x14ac:dyDescent="0.25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t="15" hidden="1" customHeight="1" outlineLevel="2" x14ac:dyDescent="0.25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t="15" hidden="1" customHeight="1" outlineLevel="2" x14ac:dyDescent="0.25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t="15" hidden="1" customHeight="1" outlineLevel="2" x14ac:dyDescent="0.25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t="15" hidden="1" customHeight="1" outlineLevel="2" x14ac:dyDescent="0.25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t="15" hidden="1" customHeight="1" outlineLevel="2" x14ac:dyDescent="0.25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t="15" hidden="1" customHeight="1" outlineLevel="2" x14ac:dyDescent="0.25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t="15" hidden="1" customHeight="1" outlineLevel="2" x14ac:dyDescent="0.25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t="15" hidden="1" customHeight="1" outlineLevel="2" x14ac:dyDescent="0.25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t="15" hidden="1" customHeight="1" outlineLevel="2" x14ac:dyDescent="0.25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t="15" hidden="1" customHeight="1" outlineLevel="2" x14ac:dyDescent="0.25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t="15" hidden="1" customHeight="1" outlineLevel="2" x14ac:dyDescent="0.25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t="15" hidden="1" customHeight="1" outlineLevel="2" x14ac:dyDescent="0.25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t="15" hidden="1" customHeight="1" outlineLevel="2" x14ac:dyDescent="0.25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t="15" hidden="1" customHeight="1" outlineLevel="2" x14ac:dyDescent="0.25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t="15" hidden="1" customHeight="1" outlineLevel="2" x14ac:dyDescent="0.25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t="15" hidden="1" customHeight="1" outlineLevel="2" x14ac:dyDescent="0.25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t="15" hidden="1" customHeight="1" outlineLevel="2" x14ac:dyDescent="0.25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t="15" hidden="1" customHeight="1" outlineLevel="2" x14ac:dyDescent="0.25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t="15" hidden="1" customHeight="1" outlineLevel="2" x14ac:dyDescent="0.25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t="15" hidden="1" customHeight="1" outlineLevel="2" x14ac:dyDescent="0.25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t="15" hidden="1" customHeight="1" outlineLevel="2" x14ac:dyDescent="0.25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t="15" hidden="1" customHeight="1" outlineLevel="2" x14ac:dyDescent="0.25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t="15" hidden="1" customHeight="1" outlineLevel="2" x14ac:dyDescent="0.25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t="15" hidden="1" customHeight="1" outlineLevel="2" x14ac:dyDescent="0.25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t="15" hidden="1" customHeight="1" outlineLevel="2" x14ac:dyDescent="0.25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t="15" hidden="1" customHeight="1" outlineLevel="2" x14ac:dyDescent="0.25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t="15" hidden="1" customHeight="1" outlineLevel="2" x14ac:dyDescent="0.25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t="15" hidden="1" customHeight="1" outlineLevel="2" x14ac:dyDescent="0.25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t="15" hidden="1" customHeight="1" outlineLevel="2" x14ac:dyDescent="0.25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t="15" hidden="1" customHeight="1" outlineLevel="2" x14ac:dyDescent="0.25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t="15" hidden="1" customHeight="1" outlineLevel="2" x14ac:dyDescent="0.25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t="15" hidden="1" customHeight="1" outlineLevel="2" x14ac:dyDescent="0.25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t="15" hidden="1" customHeight="1" outlineLevel="2" x14ac:dyDescent="0.25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t="15" hidden="1" customHeight="1" outlineLevel="2" x14ac:dyDescent="0.25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t="15" hidden="1" customHeight="1" outlineLevel="2" x14ac:dyDescent="0.25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t="15" hidden="1" customHeight="1" outlineLevel="2" x14ac:dyDescent="0.25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t="15" hidden="1" customHeight="1" outlineLevel="2" x14ac:dyDescent="0.25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t="15" hidden="1" customHeight="1" outlineLevel="2" x14ac:dyDescent="0.25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t="15" hidden="1" customHeight="1" outlineLevel="2" x14ac:dyDescent="0.25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t="15" hidden="1" customHeight="1" outlineLevel="2" x14ac:dyDescent="0.25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t="15" hidden="1" customHeight="1" outlineLevel="2" x14ac:dyDescent="0.25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t="15" hidden="1" customHeight="1" outlineLevel="2" x14ac:dyDescent="0.25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t="15" hidden="1" customHeight="1" outlineLevel="2" x14ac:dyDescent="0.25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t="15" hidden="1" customHeight="1" outlineLevel="2" x14ac:dyDescent="0.25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t="15" hidden="1" customHeight="1" outlineLevel="2" x14ac:dyDescent="0.25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t="15" hidden="1" customHeight="1" outlineLevel="2" x14ac:dyDescent="0.25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t="15" hidden="1" customHeight="1" outlineLevel="2" x14ac:dyDescent="0.25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t="15" hidden="1" customHeight="1" outlineLevel="2" x14ac:dyDescent="0.25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t="15" hidden="1" customHeight="1" outlineLevel="2" x14ac:dyDescent="0.25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t="15" hidden="1" customHeight="1" outlineLevel="2" x14ac:dyDescent="0.25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t="15" hidden="1" customHeight="1" outlineLevel="2" x14ac:dyDescent="0.25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t="15" hidden="1" customHeight="1" outlineLevel="2" x14ac:dyDescent="0.25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t="15" hidden="1" customHeight="1" outlineLevel="2" x14ac:dyDescent="0.25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t="15" hidden="1" customHeight="1" outlineLevel="2" x14ac:dyDescent="0.25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t="15" hidden="1" customHeight="1" outlineLevel="2" x14ac:dyDescent="0.25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t="15" hidden="1" customHeight="1" outlineLevel="2" x14ac:dyDescent="0.25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t="15" hidden="1" customHeight="1" outlineLevel="2" x14ac:dyDescent="0.25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t="15" hidden="1" customHeight="1" outlineLevel="2" x14ac:dyDescent="0.25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t="15" hidden="1" customHeight="1" outlineLevel="2" x14ac:dyDescent="0.25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t="15" hidden="1" customHeight="1" outlineLevel="2" x14ac:dyDescent="0.25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t="15" hidden="1" customHeight="1" outlineLevel="2" x14ac:dyDescent="0.25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t="15" hidden="1" customHeight="1" outlineLevel="2" x14ac:dyDescent="0.25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t="15" hidden="1" customHeight="1" outlineLevel="2" x14ac:dyDescent="0.25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t="15" hidden="1" customHeight="1" outlineLevel="2" x14ac:dyDescent="0.25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t="15" hidden="1" customHeight="1" outlineLevel="2" x14ac:dyDescent="0.25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t="15" hidden="1" customHeight="1" outlineLevel="2" x14ac:dyDescent="0.25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t="15" hidden="1" customHeight="1" outlineLevel="2" x14ac:dyDescent="0.25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t="15" hidden="1" customHeight="1" outlineLevel="2" x14ac:dyDescent="0.25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t="15" hidden="1" customHeight="1" outlineLevel="2" x14ac:dyDescent="0.25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t="15" hidden="1" customHeight="1" outlineLevel="2" x14ac:dyDescent="0.25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t="15" hidden="1" customHeight="1" outlineLevel="2" x14ac:dyDescent="0.25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t="15" hidden="1" customHeight="1" outlineLevel="2" x14ac:dyDescent="0.25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t="15" hidden="1" customHeight="1" outlineLevel="2" x14ac:dyDescent="0.25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t="15" hidden="1" customHeight="1" outlineLevel="2" x14ac:dyDescent="0.25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t="15" hidden="1" customHeight="1" outlineLevel="2" x14ac:dyDescent="0.25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t="15" hidden="1" customHeight="1" outlineLevel="2" x14ac:dyDescent="0.25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t="15" hidden="1" customHeight="1" outlineLevel="2" x14ac:dyDescent="0.25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t="15" hidden="1" customHeight="1" outlineLevel="2" x14ac:dyDescent="0.25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t="15" hidden="1" customHeight="1" outlineLevel="2" x14ac:dyDescent="0.25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t="15" hidden="1" customHeight="1" outlineLevel="2" x14ac:dyDescent="0.25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t="15" hidden="1" customHeight="1" outlineLevel="2" x14ac:dyDescent="0.25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t="15" hidden="1" customHeight="1" outlineLevel="2" x14ac:dyDescent="0.25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t="15" hidden="1" customHeight="1" outlineLevel="2" x14ac:dyDescent="0.25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t="15" hidden="1" customHeight="1" outlineLevel="2" x14ac:dyDescent="0.25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t="15" hidden="1" customHeight="1" outlineLevel="2" x14ac:dyDescent="0.25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t="15" hidden="1" customHeight="1" outlineLevel="2" x14ac:dyDescent="0.25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t="15" hidden="1" customHeight="1" outlineLevel="2" x14ac:dyDescent="0.25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t="15" hidden="1" customHeight="1" outlineLevel="2" x14ac:dyDescent="0.25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t="15" hidden="1" customHeight="1" outlineLevel="2" x14ac:dyDescent="0.25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t="15" hidden="1" customHeight="1" outlineLevel="2" x14ac:dyDescent="0.25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t="15" hidden="1" customHeight="1" outlineLevel="2" x14ac:dyDescent="0.25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t="15" hidden="1" customHeight="1" outlineLevel="2" x14ac:dyDescent="0.25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t="15" hidden="1" customHeight="1" outlineLevel="2" x14ac:dyDescent="0.25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t="15" hidden="1" customHeight="1" outlineLevel="2" x14ac:dyDescent="0.25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t="15" hidden="1" customHeight="1" outlineLevel="2" x14ac:dyDescent="0.25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t="15" hidden="1" customHeight="1" outlineLevel="2" x14ac:dyDescent="0.25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t="15" hidden="1" customHeight="1" outlineLevel="2" x14ac:dyDescent="0.25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t="15" hidden="1" customHeight="1" outlineLevel="2" x14ac:dyDescent="0.25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t="15" hidden="1" customHeight="1" outlineLevel="2" x14ac:dyDescent="0.25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t="15" hidden="1" customHeight="1" outlineLevel="2" x14ac:dyDescent="0.25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t="15" hidden="1" customHeight="1" outlineLevel="2" x14ac:dyDescent="0.25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t="15" hidden="1" customHeight="1" outlineLevel="2" x14ac:dyDescent="0.25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t="15" hidden="1" customHeight="1" outlineLevel="2" x14ac:dyDescent="0.25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t="15" hidden="1" customHeight="1" outlineLevel="2" x14ac:dyDescent="0.25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t="15" hidden="1" customHeight="1" outlineLevel="2" x14ac:dyDescent="0.25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t="15" hidden="1" customHeight="1" outlineLevel="2" x14ac:dyDescent="0.25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t="15" hidden="1" customHeight="1" outlineLevel="2" x14ac:dyDescent="0.25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t="15" hidden="1" customHeight="1" outlineLevel="2" x14ac:dyDescent="0.25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t="15" hidden="1" customHeight="1" outlineLevel="2" x14ac:dyDescent="0.25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t="15" hidden="1" customHeight="1" outlineLevel="2" x14ac:dyDescent="0.25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t="15" hidden="1" customHeight="1" outlineLevel="2" x14ac:dyDescent="0.25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t="15" hidden="1" customHeight="1" outlineLevel="2" x14ac:dyDescent="0.25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t="15" hidden="1" customHeight="1" outlineLevel="2" x14ac:dyDescent="0.25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t="15" hidden="1" customHeight="1" outlineLevel="2" x14ac:dyDescent="0.25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t="15" hidden="1" customHeight="1" outlineLevel="2" x14ac:dyDescent="0.25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t="15" hidden="1" customHeight="1" outlineLevel="2" x14ac:dyDescent="0.25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t="15" hidden="1" customHeight="1" outlineLevel="2" x14ac:dyDescent="0.25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t="15" hidden="1" customHeight="1" outlineLevel="2" x14ac:dyDescent="0.25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t="15" hidden="1" customHeight="1" outlineLevel="2" x14ac:dyDescent="0.25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t="15" hidden="1" customHeight="1" outlineLevel="2" x14ac:dyDescent="0.25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t="15" hidden="1" customHeight="1" outlineLevel="2" x14ac:dyDescent="0.25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t="15" hidden="1" customHeight="1" outlineLevel="2" x14ac:dyDescent="0.25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t="15" hidden="1" customHeight="1" outlineLevel="2" x14ac:dyDescent="0.25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t="15" hidden="1" customHeight="1" outlineLevel="2" x14ac:dyDescent="0.25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t="15" hidden="1" customHeight="1" outlineLevel="2" x14ac:dyDescent="0.25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t="15" hidden="1" customHeight="1" outlineLevel="2" x14ac:dyDescent="0.25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t="15" hidden="1" customHeight="1" outlineLevel="2" x14ac:dyDescent="0.25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t="15" hidden="1" customHeight="1" outlineLevel="2" x14ac:dyDescent="0.25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t="15" hidden="1" customHeight="1" outlineLevel="2" x14ac:dyDescent="0.25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t="15" hidden="1" customHeight="1" outlineLevel="2" x14ac:dyDescent="0.25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t="15" hidden="1" customHeight="1" outlineLevel="2" x14ac:dyDescent="0.25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t="15" hidden="1" customHeight="1" outlineLevel="2" x14ac:dyDescent="0.25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t="15" hidden="1" customHeight="1" outlineLevel="2" x14ac:dyDescent="0.25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t="15" hidden="1" customHeight="1" outlineLevel="2" x14ac:dyDescent="0.25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t="15" hidden="1" customHeight="1" outlineLevel="2" x14ac:dyDescent="0.25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t="15" hidden="1" customHeight="1" outlineLevel="2" x14ac:dyDescent="0.25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t="15" hidden="1" customHeight="1" outlineLevel="2" x14ac:dyDescent="0.25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t="15" hidden="1" customHeight="1" outlineLevel="2" x14ac:dyDescent="0.25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t="15" hidden="1" customHeight="1" outlineLevel="2" x14ac:dyDescent="0.25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t="15" hidden="1" customHeight="1" outlineLevel="2" x14ac:dyDescent="0.25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t="15" hidden="1" customHeight="1" outlineLevel="2" x14ac:dyDescent="0.25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t="15" hidden="1" customHeight="1" outlineLevel="2" x14ac:dyDescent="0.25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t="15" hidden="1" customHeight="1" outlineLevel="2" x14ac:dyDescent="0.25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t="15" hidden="1" customHeight="1" outlineLevel="2" x14ac:dyDescent="0.25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t="15" hidden="1" customHeight="1" outlineLevel="2" x14ac:dyDescent="0.25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t="15" hidden="1" customHeight="1" outlineLevel="2" x14ac:dyDescent="0.25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t="15" hidden="1" customHeight="1" outlineLevel="2" x14ac:dyDescent="0.25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t="15" hidden="1" customHeight="1" outlineLevel="2" x14ac:dyDescent="0.25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t="15" hidden="1" customHeight="1" outlineLevel="2" x14ac:dyDescent="0.25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t="15" hidden="1" customHeight="1" outlineLevel="2" x14ac:dyDescent="0.25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t="15" hidden="1" customHeight="1" outlineLevel="2" x14ac:dyDescent="0.25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t="15" hidden="1" customHeight="1" outlineLevel="2" x14ac:dyDescent="0.25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t="15" hidden="1" customHeight="1" outlineLevel="2" x14ac:dyDescent="0.25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t="15" hidden="1" customHeight="1" outlineLevel="2" x14ac:dyDescent="0.25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t="15" hidden="1" customHeight="1" outlineLevel="2" x14ac:dyDescent="0.25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t="15" hidden="1" customHeight="1" outlineLevel="2" x14ac:dyDescent="0.25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t="15" hidden="1" customHeight="1" outlineLevel="2" x14ac:dyDescent="0.25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t="15" hidden="1" customHeight="1" outlineLevel="2" x14ac:dyDescent="0.25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t="15" hidden="1" customHeight="1" outlineLevel="2" x14ac:dyDescent="0.25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t="15" hidden="1" customHeight="1" outlineLevel="2" x14ac:dyDescent="0.25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t="15" hidden="1" customHeight="1" outlineLevel="2" x14ac:dyDescent="0.25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t="15" hidden="1" customHeight="1" outlineLevel="2" x14ac:dyDescent="0.25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t="15" hidden="1" customHeight="1" outlineLevel="2" x14ac:dyDescent="0.25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t="15" hidden="1" customHeight="1" outlineLevel="2" x14ac:dyDescent="0.25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t="15" hidden="1" customHeight="1" outlineLevel="2" x14ac:dyDescent="0.25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t="15" hidden="1" customHeight="1" outlineLevel="2" x14ac:dyDescent="0.25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t="15" hidden="1" customHeight="1" outlineLevel="2" x14ac:dyDescent="0.25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t="15" hidden="1" customHeight="1" outlineLevel="2" x14ac:dyDescent="0.25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t="15" hidden="1" customHeight="1" outlineLevel="2" x14ac:dyDescent="0.25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t="15" hidden="1" customHeight="1" outlineLevel="2" x14ac:dyDescent="0.25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t="15" hidden="1" customHeight="1" outlineLevel="2" x14ac:dyDescent="0.25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t="15" hidden="1" customHeight="1" outlineLevel="2" x14ac:dyDescent="0.25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t="15" hidden="1" customHeight="1" outlineLevel="2" x14ac:dyDescent="0.25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t="15" hidden="1" customHeight="1" outlineLevel="2" x14ac:dyDescent="0.25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t="15" hidden="1" customHeight="1" outlineLevel="2" x14ac:dyDescent="0.25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t="15" hidden="1" customHeight="1" outlineLevel="2" x14ac:dyDescent="0.25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t="15" hidden="1" customHeight="1" outlineLevel="2" x14ac:dyDescent="0.25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t="15" hidden="1" customHeight="1" outlineLevel="2" x14ac:dyDescent="0.25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t="15" hidden="1" customHeight="1" outlineLevel="2" x14ac:dyDescent="0.25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t="15" hidden="1" customHeight="1" outlineLevel="2" x14ac:dyDescent="0.25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t="15" hidden="1" customHeight="1" outlineLevel="2" x14ac:dyDescent="0.25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t="15" hidden="1" customHeight="1" outlineLevel="2" x14ac:dyDescent="0.25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t="15" hidden="1" customHeight="1" outlineLevel="2" x14ac:dyDescent="0.25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t="15" hidden="1" customHeight="1" outlineLevel="2" x14ac:dyDescent="0.25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t="15" hidden="1" customHeight="1" outlineLevel="2" x14ac:dyDescent="0.25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t="15" hidden="1" customHeight="1" outlineLevel="2" x14ac:dyDescent="0.25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t="15" hidden="1" customHeight="1" outlineLevel="2" x14ac:dyDescent="0.25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t="15" hidden="1" customHeight="1" outlineLevel="2" x14ac:dyDescent="0.25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t="15" hidden="1" customHeight="1" outlineLevel="2" x14ac:dyDescent="0.25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t="15" hidden="1" customHeight="1" outlineLevel="2" x14ac:dyDescent="0.25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t="15" hidden="1" customHeight="1" outlineLevel="2" x14ac:dyDescent="0.25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t="15" hidden="1" customHeight="1" outlineLevel="2" x14ac:dyDescent="0.25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t="15" hidden="1" customHeight="1" outlineLevel="2" x14ac:dyDescent="0.25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t="15" hidden="1" customHeight="1" outlineLevel="2" x14ac:dyDescent="0.25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t="15" hidden="1" customHeight="1" outlineLevel="2" x14ac:dyDescent="0.25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t="15" hidden="1" customHeight="1" outlineLevel="2" x14ac:dyDescent="0.25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t="15" hidden="1" customHeight="1" outlineLevel="2" x14ac:dyDescent="0.25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t="15" hidden="1" customHeight="1" outlineLevel="2" x14ac:dyDescent="0.25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t="15" hidden="1" customHeight="1" outlineLevel="2" x14ac:dyDescent="0.25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t="15" hidden="1" customHeight="1" outlineLevel="2" x14ac:dyDescent="0.25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t="15" hidden="1" customHeight="1" outlineLevel="2" x14ac:dyDescent="0.25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t="15" hidden="1" customHeight="1" outlineLevel="2" x14ac:dyDescent="0.25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t="15" hidden="1" customHeight="1" outlineLevel="2" x14ac:dyDescent="0.25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t="15" hidden="1" customHeight="1" outlineLevel="2" x14ac:dyDescent="0.25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t="15" hidden="1" customHeight="1" outlineLevel="2" x14ac:dyDescent="0.25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t="15" hidden="1" customHeight="1" outlineLevel="2" x14ac:dyDescent="0.25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t="15" hidden="1" customHeight="1" outlineLevel="2" x14ac:dyDescent="0.25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t="15" hidden="1" customHeight="1" outlineLevel="2" x14ac:dyDescent="0.25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t="15" hidden="1" customHeight="1" outlineLevel="2" x14ac:dyDescent="0.25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t="15" hidden="1" customHeight="1" outlineLevel="2" x14ac:dyDescent="0.25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t="15" hidden="1" customHeight="1" outlineLevel="2" x14ac:dyDescent="0.25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t="15" hidden="1" customHeight="1" outlineLevel="2" x14ac:dyDescent="0.25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t="15" hidden="1" customHeight="1" outlineLevel="2" x14ac:dyDescent="0.25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t="15" hidden="1" customHeight="1" outlineLevel="2" x14ac:dyDescent="0.25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t="15" hidden="1" customHeight="1" outlineLevel="2" x14ac:dyDescent="0.25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t="15" hidden="1" customHeight="1" outlineLevel="2" x14ac:dyDescent="0.25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t="15" hidden="1" customHeight="1" outlineLevel="2" x14ac:dyDescent="0.25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t="15" hidden="1" customHeight="1" outlineLevel="2" x14ac:dyDescent="0.25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t="15" hidden="1" customHeight="1" outlineLevel="2" x14ac:dyDescent="0.25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t="15" hidden="1" customHeight="1" outlineLevel="2" x14ac:dyDescent="0.25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t="15" hidden="1" customHeight="1" outlineLevel="2" x14ac:dyDescent="0.25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t="15" hidden="1" customHeight="1" outlineLevel="2" x14ac:dyDescent="0.25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t="15" hidden="1" customHeight="1" outlineLevel="2" x14ac:dyDescent="0.25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t="15" hidden="1" customHeight="1" outlineLevel="2" x14ac:dyDescent="0.25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t="15" hidden="1" customHeight="1" outlineLevel="2" x14ac:dyDescent="0.25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t="15" hidden="1" customHeight="1" outlineLevel="2" x14ac:dyDescent="0.25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t="15" hidden="1" customHeight="1" outlineLevel="2" x14ac:dyDescent="0.25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t="15" hidden="1" customHeight="1" outlineLevel="2" x14ac:dyDescent="0.25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t="15" hidden="1" customHeight="1" outlineLevel="2" x14ac:dyDescent="0.25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t="15" hidden="1" customHeight="1" outlineLevel="2" x14ac:dyDescent="0.25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t="15" hidden="1" customHeight="1" outlineLevel="2" x14ac:dyDescent="0.25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25">
      <c r="A288" s="8" t="s">
        <v>1309</v>
      </c>
      <c r="E288">
        <f>SUBTOTAL(1,E2:E287)</f>
        <v>107.04545454545455</v>
      </c>
    </row>
    <row r="289" spans="1:7" ht="15" hidden="1" customHeight="1" outlineLevel="2" x14ac:dyDescent="0.25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t="15" hidden="1" customHeight="1" outlineLevel="2" x14ac:dyDescent="0.25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t="15" hidden="1" customHeight="1" outlineLevel="2" x14ac:dyDescent="0.25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t="15" hidden="1" customHeight="1" outlineLevel="2" x14ac:dyDescent="0.25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t="15" hidden="1" customHeight="1" outlineLevel="2" x14ac:dyDescent="0.25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t="15" hidden="1" customHeight="1" outlineLevel="2" x14ac:dyDescent="0.25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t="15" hidden="1" customHeight="1" outlineLevel="2" x14ac:dyDescent="0.25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t="15" hidden="1" customHeight="1" outlineLevel="2" x14ac:dyDescent="0.25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t="15" hidden="1" customHeight="1" outlineLevel="2" x14ac:dyDescent="0.25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t="15" hidden="1" customHeight="1" outlineLevel="2" x14ac:dyDescent="0.25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t="15" hidden="1" customHeight="1" outlineLevel="2" x14ac:dyDescent="0.25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t="15" hidden="1" customHeight="1" outlineLevel="2" x14ac:dyDescent="0.25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t="15" hidden="1" customHeight="1" outlineLevel="2" x14ac:dyDescent="0.25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t="15" hidden="1" customHeight="1" outlineLevel="2" x14ac:dyDescent="0.25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t="15" hidden="1" customHeight="1" outlineLevel="2" x14ac:dyDescent="0.25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t="15" hidden="1" customHeight="1" outlineLevel="2" x14ac:dyDescent="0.25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t="15" hidden="1" customHeight="1" outlineLevel="2" x14ac:dyDescent="0.25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t="15" hidden="1" customHeight="1" outlineLevel="2" x14ac:dyDescent="0.25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t="15" hidden="1" customHeight="1" outlineLevel="2" x14ac:dyDescent="0.25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t="15" hidden="1" customHeight="1" outlineLevel="2" x14ac:dyDescent="0.25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t="15" hidden="1" customHeight="1" outlineLevel="2" x14ac:dyDescent="0.25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t="15" hidden="1" customHeight="1" outlineLevel="2" x14ac:dyDescent="0.25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t="15" hidden="1" customHeight="1" outlineLevel="2" x14ac:dyDescent="0.25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t="15" hidden="1" customHeight="1" outlineLevel="2" x14ac:dyDescent="0.25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t="15" hidden="1" customHeight="1" outlineLevel="2" x14ac:dyDescent="0.25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t="15" hidden="1" customHeight="1" outlineLevel="2" x14ac:dyDescent="0.25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t="15" hidden="1" customHeight="1" outlineLevel="2" x14ac:dyDescent="0.25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t="15" hidden="1" customHeight="1" outlineLevel="2" x14ac:dyDescent="0.25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t="15" hidden="1" customHeight="1" outlineLevel="2" x14ac:dyDescent="0.25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t="15" hidden="1" customHeight="1" outlineLevel="2" x14ac:dyDescent="0.25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t="15" hidden="1" customHeight="1" outlineLevel="2" x14ac:dyDescent="0.25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t="15" hidden="1" customHeight="1" outlineLevel="2" x14ac:dyDescent="0.25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t="15" hidden="1" customHeight="1" outlineLevel="2" x14ac:dyDescent="0.25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t="15" hidden="1" customHeight="1" outlineLevel="2" x14ac:dyDescent="0.25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t="15" hidden="1" customHeight="1" outlineLevel="2" x14ac:dyDescent="0.25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t="15" hidden="1" customHeight="1" outlineLevel="2" x14ac:dyDescent="0.25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t="15" hidden="1" customHeight="1" outlineLevel="2" x14ac:dyDescent="0.25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t="15" hidden="1" customHeight="1" outlineLevel="2" x14ac:dyDescent="0.25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t="15" hidden="1" customHeight="1" outlineLevel="2" x14ac:dyDescent="0.25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t="15" hidden="1" customHeight="1" outlineLevel="2" x14ac:dyDescent="0.25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t="15" hidden="1" customHeight="1" outlineLevel="2" x14ac:dyDescent="0.25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t="15" hidden="1" customHeight="1" outlineLevel="2" x14ac:dyDescent="0.25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t="15" hidden="1" customHeight="1" outlineLevel="2" x14ac:dyDescent="0.25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t="15" hidden="1" customHeight="1" outlineLevel="2" x14ac:dyDescent="0.25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t="15" hidden="1" customHeight="1" outlineLevel="2" x14ac:dyDescent="0.25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t="15" hidden="1" customHeight="1" outlineLevel="2" x14ac:dyDescent="0.25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t="15" hidden="1" customHeight="1" outlineLevel="2" x14ac:dyDescent="0.25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t="15" hidden="1" customHeight="1" outlineLevel="2" x14ac:dyDescent="0.25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t="15" hidden="1" customHeight="1" outlineLevel="2" x14ac:dyDescent="0.25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t="15" hidden="1" customHeight="1" outlineLevel="2" x14ac:dyDescent="0.25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t="15" hidden="1" customHeight="1" outlineLevel="2" x14ac:dyDescent="0.25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t="15" hidden="1" customHeight="1" outlineLevel="2" x14ac:dyDescent="0.25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t="15" hidden="1" customHeight="1" outlineLevel="2" x14ac:dyDescent="0.25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t="15" hidden="1" customHeight="1" outlineLevel="2" x14ac:dyDescent="0.25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t="15" hidden="1" customHeight="1" outlineLevel="2" x14ac:dyDescent="0.25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t="15" hidden="1" customHeight="1" outlineLevel="2" x14ac:dyDescent="0.25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t="15" hidden="1" customHeight="1" outlineLevel="2" x14ac:dyDescent="0.25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t="15" hidden="1" customHeight="1" outlineLevel="2" x14ac:dyDescent="0.25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t="15" hidden="1" customHeight="1" outlineLevel="2" x14ac:dyDescent="0.25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t="15" hidden="1" customHeight="1" outlineLevel="2" x14ac:dyDescent="0.25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t="15" hidden="1" customHeight="1" outlineLevel="2" x14ac:dyDescent="0.25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t="15" hidden="1" customHeight="1" outlineLevel="2" x14ac:dyDescent="0.25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t="15" hidden="1" customHeight="1" outlineLevel="2" x14ac:dyDescent="0.25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t="15" hidden="1" customHeight="1" outlineLevel="2" x14ac:dyDescent="0.25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t="15" hidden="1" customHeight="1" outlineLevel="2" x14ac:dyDescent="0.25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t="15" hidden="1" customHeight="1" outlineLevel="2" x14ac:dyDescent="0.25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t="15" hidden="1" customHeight="1" outlineLevel="2" x14ac:dyDescent="0.25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t="15" hidden="1" customHeight="1" outlineLevel="2" x14ac:dyDescent="0.25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t="15" hidden="1" customHeight="1" outlineLevel="2" x14ac:dyDescent="0.25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t="15" hidden="1" customHeight="1" outlineLevel="2" x14ac:dyDescent="0.25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t="15" hidden="1" customHeight="1" outlineLevel="2" x14ac:dyDescent="0.25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t="15" hidden="1" customHeight="1" outlineLevel="2" x14ac:dyDescent="0.25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t="15" hidden="1" customHeight="1" outlineLevel="2" x14ac:dyDescent="0.25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t="15" hidden="1" customHeight="1" outlineLevel="2" x14ac:dyDescent="0.25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t="15" hidden="1" customHeight="1" outlineLevel="2" x14ac:dyDescent="0.25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t="15" hidden="1" customHeight="1" outlineLevel="2" x14ac:dyDescent="0.25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t="15" hidden="1" customHeight="1" outlineLevel="2" x14ac:dyDescent="0.25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t="15" hidden="1" customHeight="1" outlineLevel="2" x14ac:dyDescent="0.25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t="15" hidden="1" customHeight="1" outlineLevel="2" x14ac:dyDescent="0.25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t="15" hidden="1" customHeight="1" outlineLevel="2" x14ac:dyDescent="0.25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t="15" hidden="1" customHeight="1" outlineLevel="2" x14ac:dyDescent="0.25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t="15" hidden="1" customHeight="1" outlineLevel="2" x14ac:dyDescent="0.25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t="15" hidden="1" customHeight="1" outlineLevel="2" x14ac:dyDescent="0.25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t="15" hidden="1" customHeight="1" outlineLevel="2" x14ac:dyDescent="0.25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t="15" hidden="1" customHeight="1" outlineLevel="2" x14ac:dyDescent="0.25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t="15" hidden="1" customHeight="1" outlineLevel="2" x14ac:dyDescent="0.25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t="15" hidden="1" customHeight="1" outlineLevel="2" x14ac:dyDescent="0.25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t="15" hidden="1" customHeight="1" outlineLevel="2" x14ac:dyDescent="0.25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t="15" hidden="1" customHeight="1" outlineLevel="2" x14ac:dyDescent="0.25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t="15" hidden="1" customHeight="1" outlineLevel="2" x14ac:dyDescent="0.25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t="15" hidden="1" customHeight="1" outlineLevel="2" x14ac:dyDescent="0.25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t="15" hidden="1" customHeight="1" outlineLevel="2" x14ac:dyDescent="0.25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t="15" hidden="1" customHeight="1" outlineLevel="2" x14ac:dyDescent="0.25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t="15" hidden="1" customHeight="1" outlineLevel="2" x14ac:dyDescent="0.25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t="15" hidden="1" customHeight="1" outlineLevel="2" x14ac:dyDescent="0.25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t="15" hidden="1" customHeight="1" outlineLevel="2" x14ac:dyDescent="0.25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t="15" hidden="1" customHeight="1" outlineLevel="2" x14ac:dyDescent="0.25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t="15" hidden="1" customHeight="1" outlineLevel="2" x14ac:dyDescent="0.25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t="15" hidden="1" customHeight="1" outlineLevel="2" x14ac:dyDescent="0.25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t="15" hidden="1" customHeight="1" outlineLevel="2" x14ac:dyDescent="0.25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t="15" hidden="1" customHeight="1" outlineLevel="2" x14ac:dyDescent="0.25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t="15" hidden="1" customHeight="1" outlineLevel="2" x14ac:dyDescent="0.25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25">
      <c r="A391" s="8" t="s">
        <v>1310</v>
      </c>
      <c r="E391">
        <f>SUBTOTAL(1,E289:E390)</f>
        <v>83.764705882352942</v>
      </c>
    </row>
    <row r="392" spans="1:7" ht="15" hidden="1" customHeight="1" outlineLevel="2" x14ac:dyDescent="0.25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t="15" hidden="1" customHeight="1" outlineLevel="2" x14ac:dyDescent="0.25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t="15" hidden="1" customHeight="1" outlineLevel="2" x14ac:dyDescent="0.25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t="15" hidden="1" customHeight="1" outlineLevel="2" x14ac:dyDescent="0.25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t="15" hidden="1" customHeight="1" outlineLevel="2" x14ac:dyDescent="0.25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t="15" hidden="1" customHeight="1" outlineLevel="2" x14ac:dyDescent="0.25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t="15" hidden="1" customHeight="1" outlineLevel="2" x14ac:dyDescent="0.25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t="15" hidden="1" customHeight="1" outlineLevel="2" x14ac:dyDescent="0.25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t="15" hidden="1" customHeight="1" outlineLevel="2" x14ac:dyDescent="0.25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t="15" hidden="1" customHeight="1" outlineLevel="2" x14ac:dyDescent="0.25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t="15" hidden="1" customHeight="1" outlineLevel="2" x14ac:dyDescent="0.25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t="15" hidden="1" customHeight="1" outlineLevel="2" x14ac:dyDescent="0.25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t="15" hidden="1" customHeight="1" outlineLevel="2" x14ac:dyDescent="0.25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t="15" hidden="1" customHeight="1" outlineLevel="2" x14ac:dyDescent="0.25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t="15" hidden="1" customHeight="1" outlineLevel="2" x14ac:dyDescent="0.25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t="15" hidden="1" customHeight="1" outlineLevel="2" x14ac:dyDescent="0.25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t="15" hidden="1" customHeight="1" outlineLevel="2" x14ac:dyDescent="0.25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t="15" hidden="1" customHeight="1" outlineLevel="2" x14ac:dyDescent="0.25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t="15" hidden="1" customHeight="1" outlineLevel="2" x14ac:dyDescent="0.25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t="15" hidden="1" customHeight="1" outlineLevel="2" x14ac:dyDescent="0.25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t="15" hidden="1" customHeight="1" outlineLevel="2" x14ac:dyDescent="0.25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t="15" hidden="1" customHeight="1" outlineLevel="2" x14ac:dyDescent="0.25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t="15" hidden="1" customHeight="1" outlineLevel="2" x14ac:dyDescent="0.25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t="15" hidden="1" customHeight="1" outlineLevel="2" x14ac:dyDescent="0.25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t="15" hidden="1" customHeight="1" outlineLevel="2" x14ac:dyDescent="0.25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t="15" hidden="1" customHeight="1" outlineLevel="2" x14ac:dyDescent="0.25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t="15" hidden="1" customHeight="1" outlineLevel="2" x14ac:dyDescent="0.25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25">
      <c r="A419" s="8" t="s">
        <v>1311</v>
      </c>
      <c r="E419">
        <f>SUBTOTAL(1,E392:E418)</f>
        <v>129.37037037037038</v>
      </c>
    </row>
    <row r="420" spans="1:7" ht="15" hidden="1" customHeight="1" outlineLevel="2" x14ac:dyDescent="0.25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25">
      <c r="A421" s="8" t="s">
        <v>1312</v>
      </c>
      <c r="E421">
        <f>SUBTOTAL(1,E420:E420)</f>
        <v>96</v>
      </c>
    </row>
    <row r="422" spans="1:7" ht="15" hidden="1" customHeight="1" outlineLevel="2" x14ac:dyDescent="0.25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t="15" hidden="1" customHeight="1" outlineLevel="2" x14ac:dyDescent="0.25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t="15" hidden="1" customHeight="1" outlineLevel="2" x14ac:dyDescent="0.25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t="15" hidden="1" customHeight="1" outlineLevel="2" x14ac:dyDescent="0.25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t="15" hidden="1" customHeight="1" outlineLevel="2" x14ac:dyDescent="0.25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t="15" hidden="1" customHeight="1" outlineLevel="2" x14ac:dyDescent="0.25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t="15" hidden="1" customHeight="1" outlineLevel="2" x14ac:dyDescent="0.25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t="15" hidden="1" customHeight="1" outlineLevel="2" x14ac:dyDescent="0.25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t="15" hidden="1" customHeight="1" outlineLevel="2" x14ac:dyDescent="0.25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t="15" hidden="1" customHeight="1" outlineLevel="2" x14ac:dyDescent="0.25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t="15" hidden="1" customHeight="1" outlineLevel="2" x14ac:dyDescent="0.25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t="15" hidden="1" customHeight="1" outlineLevel="2" x14ac:dyDescent="0.25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t="15" hidden="1" customHeight="1" outlineLevel="2" x14ac:dyDescent="0.25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t="15" hidden="1" customHeight="1" outlineLevel="2" x14ac:dyDescent="0.25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t="15" hidden="1" customHeight="1" outlineLevel="2" x14ac:dyDescent="0.25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t="15" hidden="1" customHeight="1" outlineLevel="2" x14ac:dyDescent="0.25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t="15" hidden="1" customHeight="1" outlineLevel="2" x14ac:dyDescent="0.25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t="15" hidden="1" customHeight="1" outlineLevel="2" x14ac:dyDescent="0.25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t="15" hidden="1" customHeight="1" outlineLevel="2" x14ac:dyDescent="0.25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t="15" hidden="1" customHeight="1" outlineLevel="2" x14ac:dyDescent="0.25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t="15" hidden="1" customHeight="1" outlineLevel="2" x14ac:dyDescent="0.25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t="15" hidden="1" customHeight="1" outlineLevel="2" x14ac:dyDescent="0.25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t="15" hidden="1" customHeight="1" outlineLevel="2" x14ac:dyDescent="0.25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t="15" hidden="1" customHeight="1" outlineLevel="2" x14ac:dyDescent="0.25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t="15" hidden="1" customHeight="1" outlineLevel="2" x14ac:dyDescent="0.25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t="15" hidden="1" customHeight="1" outlineLevel="2" x14ac:dyDescent="0.25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t="15" hidden="1" customHeight="1" outlineLevel="2" x14ac:dyDescent="0.25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t="15" hidden="1" customHeight="1" outlineLevel="2" x14ac:dyDescent="0.25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t="15" hidden="1" customHeight="1" outlineLevel="2" x14ac:dyDescent="0.25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t="15" hidden="1" customHeight="1" outlineLevel="2" x14ac:dyDescent="0.25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t="15" hidden="1" customHeight="1" outlineLevel="2" x14ac:dyDescent="0.25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t="15" hidden="1" customHeight="1" outlineLevel="2" x14ac:dyDescent="0.25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t="15" hidden="1" customHeight="1" outlineLevel="2" x14ac:dyDescent="0.25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t="15" hidden="1" customHeight="1" outlineLevel="2" x14ac:dyDescent="0.25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t="15" hidden="1" customHeight="1" outlineLevel="2" x14ac:dyDescent="0.25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t="15" hidden="1" customHeight="1" outlineLevel="2" x14ac:dyDescent="0.25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t="15" hidden="1" customHeight="1" outlineLevel="2" x14ac:dyDescent="0.25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t="15" hidden="1" customHeight="1" outlineLevel="2" x14ac:dyDescent="0.25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t="15" hidden="1" customHeight="1" outlineLevel="2" x14ac:dyDescent="0.25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t="15" hidden="1" customHeight="1" outlineLevel="2" x14ac:dyDescent="0.25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t="15" hidden="1" customHeight="1" outlineLevel="2" x14ac:dyDescent="0.25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t="15" hidden="1" customHeight="1" outlineLevel="2" x14ac:dyDescent="0.25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t="15" hidden="1" customHeight="1" outlineLevel="2" x14ac:dyDescent="0.25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t="15" hidden="1" customHeight="1" outlineLevel="2" x14ac:dyDescent="0.25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t="15" hidden="1" customHeight="1" outlineLevel="2" x14ac:dyDescent="0.25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t="15" hidden="1" customHeight="1" outlineLevel="2" x14ac:dyDescent="0.25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t="15" hidden="1" customHeight="1" outlineLevel="2" x14ac:dyDescent="0.25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t="15" hidden="1" customHeight="1" outlineLevel="2" x14ac:dyDescent="0.25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t="15" hidden="1" customHeight="1" outlineLevel="2" x14ac:dyDescent="0.25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t="15" hidden="1" customHeight="1" outlineLevel="2" x14ac:dyDescent="0.25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t="15" hidden="1" customHeight="1" outlineLevel="2" x14ac:dyDescent="0.25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t="15" hidden="1" customHeight="1" outlineLevel="2" x14ac:dyDescent="0.25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t="15" hidden="1" customHeight="1" outlineLevel="2" x14ac:dyDescent="0.25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t="15" hidden="1" customHeight="1" outlineLevel="2" x14ac:dyDescent="0.25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t="15" hidden="1" customHeight="1" outlineLevel="2" x14ac:dyDescent="0.25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t="15" hidden="1" customHeight="1" outlineLevel="2" x14ac:dyDescent="0.25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t="15" hidden="1" customHeight="1" outlineLevel="2" x14ac:dyDescent="0.25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t="15" hidden="1" customHeight="1" outlineLevel="2" x14ac:dyDescent="0.25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t="15" hidden="1" customHeight="1" outlineLevel="2" x14ac:dyDescent="0.25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t="15" hidden="1" customHeight="1" outlineLevel="2" x14ac:dyDescent="0.25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t="15" hidden="1" customHeight="1" outlineLevel="2" x14ac:dyDescent="0.25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t="15" hidden="1" customHeight="1" outlineLevel="2" x14ac:dyDescent="0.25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t="15" hidden="1" customHeight="1" outlineLevel="2" x14ac:dyDescent="0.25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t="15" hidden="1" customHeight="1" outlineLevel="2" x14ac:dyDescent="0.25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t="15" hidden="1" customHeight="1" outlineLevel="2" x14ac:dyDescent="0.25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t="15" hidden="1" customHeight="1" outlineLevel="2" x14ac:dyDescent="0.25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t="15" hidden="1" customHeight="1" outlineLevel="2" x14ac:dyDescent="0.25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t="15" hidden="1" customHeight="1" outlineLevel="2" x14ac:dyDescent="0.25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t="15" hidden="1" customHeight="1" outlineLevel="2" x14ac:dyDescent="0.25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t="15" hidden="1" customHeight="1" outlineLevel="2" x14ac:dyDescent="0.25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t="15" hidden="1" customHeight="1" outlineLevel="2" x14ac:dyDescent="0.25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t="15" hidden="1" customHeight="1" outlineLevel="2" x14ac:dyDescent="0.25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t="15" hidden="1" customHeight="1" outlineLevel="2" x14ac:dyDescent="0.25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t="15" hidden="1" customHeight="1" outlineLevel="2" x14ac:dyDescent="0.25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t="15" hidden="1" customHeight="1" outlineLevel="2" x14ac:dyDescent="0.25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t="15" hidden="1" customHeight="1" outlineLevel="2" x14ac:dyDescent="0.25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t="15" hidden="1" customHeight="1" outlineLevel="2" x14ac:dyDescent="0.25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t="15" hidden="1" customHeight="1" outlineLevel="2" x14ac:dyDescent="0.25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t="15" hidden="1" customHeight="1" outlineLevel="2" x14ac:dyDescent="0.25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t="15" hidden="1" customHeight="1" outlineLevel="2" x14ac:dyDescent="0.25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t="15" hidden="1" customHeight="1" outlineLevel="2" x14ac:dyDescent="0.25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t="15" hidden="1" customHeight="1" outlineLevel="2" x14ac:dyDescent="0.25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t="15" hidden="1" customHeight="1" outlineLevel="2" x14ac:dyDescent="0.25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t="15" hidden="1" customHeight="1" outlineLevel="2" x14ac:dyDescent="0.25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t="15" hidden="1" customHeight="1" outlineLevel="2" x14ac:dyDescent="0.25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t="15" hidden="1" customHeight="1" outlineLevel="2" x14ac:dyDescent="0.25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t="15" hidden="1" customHeight="1" outlineLevel="2" x14ac:dyDescent="0.25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t="15" hidden="1" customHeight="1" outlineLevel="2" x14ac:dyDescent="0.25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t="15" hidden="1" customHeight="1" outlineLevel="2" x14ac:dyDescent="0.25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t="15" hidden="1" customHeight="1" outlineLevel="2" x14ac:dyDescent="0.25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t="15" hidden="1" customHeight="1" outlineLevel="2" x14ac:dyDescent="0.25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t="15" hidden="1" customHeight="1" outlineLevel="2" x14ac:dyDescent="0.25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t="15" hidden="1" customHeight="1" outlineLevel="2" x14ac:dyDescent="0.25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t="15" hidden="1" customHeight="1" outlineLevel="2" x14ac:dyDescent="0.25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t="15" hidden="1" customHeight="1" outlineLevel="2" x14ac:dyDescent="0.25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t="15" hidden="1" customHeight="1" outlineLevel="2" x14ac:dyDescent="0.25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t="15" hidden="1" customHeight="1" outlineLevel="2" x14ac:dyDescent="0.25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t="15" hidden="1" customHeight="1" outlineLevel="2" x14ac:dyDescent="0.25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t="15" hidden="1" customHeight="1" outlineLevel="2" x14ac:dyDescent="0.25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t="15" hidden="1" customHeight="1" outlineLevel="2" x14ac:dyDescent="0.25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t="15" hidden="1" customHeight="1" outlineLevel="2" x14ac:dyDescent="0.25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t="15" hidden="1" customHeight="1" outlineLevel="2" x14ac:dyDescent="0.25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t="15" hidden="1" customHeight="1" outlineLevel="2" x14ac:dyDescent="0.25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t="15" hidden="1" customHeight="1" outlineLevel="2" x14ac:dyDescent="0.25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t="15" hidden="1" customHeight="1" outlineLevel="2" x14ac:dyDescent="0.25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t="15" hidden="1" customHeight="1" outlineLevel="2" x14ac:dyDescent="0.25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t="15" hidden="1" customHeight="1" outlineLevel="2" x14ac:dyDescent="0.25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t="15" hidden="1" customHeight="1" outlineLevel="2" x14ac:dyDescent="0.25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t="15" hidden="1" customHeight="1" outlineLevel="2" x14ac:dyDescent="0.25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t="15" hidden="1" customHeight="1" outlineLevel="2" x14ac:dyDescent="0.25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t="15" hidden="1" customHeight="1" outlineLevel="2" x14ac:dyDescent="0.25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t="15" hidden="1" customHeight="1" outlineLevel="2" x14ac:dyDescent="0.25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t="15" hidden="1" customHeight="1" outlineLevel="2" x14ac:dyDescent="0.25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t="15" hidden="1" customHeight="1" outlineLevel="2" x14ac:dyDescent="0.25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t="15" hidden="1" customHeight="1" outlineLevel="2" x14ac:dyDescent="0.25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t="15" hidden="1" customHeight="1" outlineLevel="2" x14ac:dyDescent="0.25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t="15" hidden="1" customHeight="1" outlineLevel="2" x14ac:dyDescent="0.25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t="15" hidden="1" customHeight="1" outlineLevel="2" x14ac:dyDescent="0.25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t="15" hidden="1" customHeight="1" outlineLevel="2" x14ac:dyDescent="0.25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t="15" hidden="1" customHeight="1" outlineLevel="2" x14ac:dyDescent="0.25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t="15" hidden="1" customHeight="1" outlineLevel="2" x14ac:dyDescent="0.25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t="15" hidden="1" customHeight="1" outlineLevel="2" x14ac:dyDescent="0.25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t="15" hidden="1" customHeight="1" outlineLevel="2" x14ac:dyDescent="0.25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t="15" hidden="1" customHeight="1" outlineLevel="2" x14ac:dyDescent="0.25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t="15" hidden="1" customHeight="1" outlineLevel="2" x14ac:dyDescent="0.25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t="15" hidden="1" customHeight="1" outlineLevel="2" x14ac:dyDescent="0.25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t="15" hidden="1" customHeight="1" outlineLevel="2" x14ac:dyDescent="0.25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t="15" hidden="1" customHeight="1" outlineLevel="2" x14ac:dyDescent="0.25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t="15" hidden="1" customHeight="1" outlineLevel="2" x14ac:dyDescent="0.25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t="15" hidden="1" customHeight="1" outlineLevel="2" x14ac:dyDescent="0.25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t="15" hidden="1" customHeight="1" outlineLevel="2" x14ac:dyDescent="0.25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t="15" hidden="1" customHeight="1" outlineLevel="2" x14ac:dyDescent="0.25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t="15" hidden="1" customHeight="1" outlineLevel="2" x14ac:dyDescent="0.25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t="15" hidden="1" customHeight="1" outlineLevel="2" x14ac:dyDescent="0.25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t="15" hidden="1" customHeight="1" outlineLevel="2" x14ac:dyDescent="0.25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t="15" hidden="1" customHeight="1" outlineLevel="2" x14ac:dyDescent="0.25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t="15" hidden="1" customHeight="1" outlineLevel="2" x14ac:dyDescent="0.25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t="15" hidden="1" customHeight="1" outlineLevel="2" x14ac:dyDescent="0.25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25">
      <c r="A560" s="8" t="s">
        <v>1313</v>
      </c>
      <c r="E560">
        <f>SUBTOTAL(1,E422:E559)</f>
        <v>108.48550724637681</v>
      </c>
    </row>
    <row r="561" spans="1:7" ht="15" hidden="1" customHeight="1" outlineLevel="2" x14ac:dyDescent="0.25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t="15" hidden="1" customHeight="1" outlineLevel="2" x14ac:dyDescent="0.25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t="15" hidden="1" customHeight="1" outlineLevel="2" x14ac:dyDescent="0.25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t="15" hidden="1" customHeight="1" outlineLevel="2" x14ac:dyDescent="0.25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t="15" hidden="1" customHeight="1" outlineLevel="2" x14ac:dyDescent="0.25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t="15" hidden="1" customHeight="1" outlineLevel="2" x14ac:dyDescent="0.25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t="15" hidden="1" customHeight="1" outlineLevel="2" x14ac:dyDescent="0.25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t="15" hidden="1" customHeight="1" outlineLevel="2" x14ac:dyDescent="0.25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t="15" hidden="1" customHeight="1" outlineLevel="2" x14ac:dyDescent="0.25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t="15" hidden="1" customHeight="1" outlineLevel="2" x14ac:dyDescent="0.25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t="15" hidden="1" customHeight="1" outlineLevel="2" x14ac:dyDescent="0.25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t="15" hidden="1" customHeight="1" outlineLevel="2" x14ac:dyDescent="0.25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25">
      <c r="A573" s="8" t="s">
        <v>1314</v>
      </c>
      <c r="E573">
        <f>SUBTOTAL(1,E561:E572)</f>
        <v>93.5</v>
      </c>
    </row>
    <row r="574" spans="1:7" ht="15" hidden="1" customHeight="1" outlineLevel="2" x14ac:dyDescent="0.25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t="15" hidden="1" customHeight="1" outlineLevel="2" x14ac:dyDescent="0.25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t="15" hidden="1" customHeight="1" outlineLevel="2" x14ac:dyDescent="0.25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t="15" hidden="1" customHeight="1" outlineLevel="2" x14ac:dyDescent="0.25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t="15" hidden="1" customHeight="1" outlineLevel="2" x14ac:dyDescent="0.25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t="15" hidden="1" customHeight="1" outlineLevel="2" x14ac:dyDescent="0.25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t="15" hidden="1" customHeight="1" outlineLevel="2" x14ac:dyDescent="0.25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t="15" hidden="1" customHeight="1" outlineLevel="2" x14ac:dyDescent="0.25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t="15" hidden="1" customHeight="1" outlineLevel="2" x14ac:dyDescent="0.25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t="15" hidden="1" customHeight="1" outlineLevel="2" x14ac:dyDescent="0.25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t="15" hidden="1" customHeight="1" outlineLevel="2" x14ac:dyDescent="0.25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t="15" hidden="1" customHeight="1" outlineLevel="2" x14ac:dyDescent="0.25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t="15" hidden="1" customHeight="1" outlineLevel="2" x14ac:dyDescent="0.25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t="15" hidden="1" customHeight="1" outlineLevel="2" x14ac:dyDescent="0.25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t="15" hidden="1" customHeight="1" outlineLevel="2" x14ac:dyDescent="0.25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t="15" hidden="1" customHeight="1" outlineLevel="2" x14ac:dyDescent="0.25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t="15" hidden="1" customHeight="1" outlineLevel="2" x14ac:dyDescent="0.25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t="15" hidden="1" customHeight="1" outlineLevel="2" x14ac:dyDescent="0.25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t="15" hidden="1" customHeight="1" outlineLevel="2" x14ac:dyDescent="0.25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t="15" hidden="1" customHeight="1" outlineLevel="2" x14ac:dyDescent="0.25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t="15" hidden="1" customHeight="1" outlineLevel="2" x14ac:dyDescent="0.25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t="15" hidden="1" customHeight="1" outlineLevel="2" x14ac:dyDescent="0.25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t="15" hidden="1" customHeight="1" outlineLevel="2" x14ac:dyDescent="0.25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t="15" hidden="1" customHeight="1" outlineLevel="2" x14ac:dyDescent="0.25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t="15" hidden="1" customHeight="1" outlineLevel="2" x14ac:dyDescent="0.25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t="15" hidden="1" customHeight="1" outlineLevel="2" x14ac:dyDescent="0.25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t="15" hidden="1" customHeight="1" outlineLevel="2" x14ac:dyDescent="0.25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t="15" hidden="1" customHeight="1" outlineLevel="2" x14ac:dyDescent="0.25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t="15" hidden="1" customHeight="1" outlineLevel="2" x14ac:dyDescent="0.25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t="15" hidden="1" customHeight="1" outlineLevel="2" x14ac:dyDescent="0.25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t="15" hidden="1" customHeight="1" outlineLevel="2" x14ac:dyDescent="0.25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t="15" hidden="1" customHeight="1" outlineLevel="2" x14ac:dyDescent="0.25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t="15" hidden="1" customHeight="1" outlineLevel="2" x14ac:dyDescent="0.25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t="15" hidden="1" customHeight="1" outlineLevel="2" x14ac:dyDescent="0.25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t="15" hidden="1" customHeight="1" outlineLevel="2" x14ac:dyDescent="0.25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t="15" hidden="1" customHeight="1" outlineLevel="2" x14ac:dyDescent="0.25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t="15" hidden="1" customHeight="1" outlineLevel="2" x14ac:dyDescent="0.25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t="15" hidden="1" customHeight="1" outlineLevel="2" x14ac:dyDescent="0.25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t="15" hidden="1" customHeight="1" outlineLevel="2" x14ac:dyDescent="0.25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t="15" hidden="1" customHeight="1" outlineLevel="2" x14ac:dyDescent="0.25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t="15" hidden="1" customHeight="1" outlineLevel="2" x14ac:dyDescent="0.25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t="15" hidden="1" customHeight="1" outlineLevel="2" x14ac:dyDescent="0.25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t="15" hidden="1" customHeight="1" outlineLevel="2" x14ac:dyDescent="0.25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t="15" hidden="1" customHeight="1" outlineLevel="2" x14ac:dyDescent="0.25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t="15" hidden="1" customHeight="1" outlineLevel="2" x14ac:dyDescent="0.25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t="15" hidden="1" customHeight="1" outlineLevel="2" x14ac:dyDescent="0.25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t="15" hidden="1" customHeight="1" outlineLevel="2" x14ac:dyDescent="0.25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t="15" hidden="1" customHeight="1" outlineLevel="2" x14ac:dyDescent="0.25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t="15" hidden="1" customHeight="1" outlineLevel="2" x14ac:dyDescent="0.25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t="15" hidden="1" customHeight="1" outlineLevel="2" x14ac:dyDescent="0.25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t="15" hidden="1" customHeight="1" outlineLevel="2" x14ac:dyDescent="0.25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t="15" hidden="1" customHeight="1" outlineLevel="2" x14ac:dyDescent="0.25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t="15" hidden="1" customHeight="1" outlineLevel="2" x14ac:dyDescent="0.25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t="15" hidden="1" customHeight="1" outlineLevel="2" x14ac:dyDescent="0.25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t="15" hidden="1" customHeight="1" outlineLevel="2" x14ac:dyDescent="0.25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t="15" hidden="1" customHeight="1" outlineLevel="2" x14ac:dyDescent="0.25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t="15" hidden="1" customHeight="1" outlineLevel="2" x14ac:dyDescent="0.25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t="15" hidden="1" customHeight="1" outlineLevel="2" x14ac:dyDescent="0.25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t="15" hidden="1" customHeight="1" outlineLevel="2" x14ac:dyDescent="0.25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t="15" hidden="1" customHeight="1" outlineLevel="2" x14ac:dyDescent="0.25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t="15" hidden="1" customHeight="1" outlineLevel="2" x14ac:dyDescent="0.25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t="15" hidden="1" customHeight="1" outlineLevel="2" x14ac:dyDescent="0.25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t="15" hidden="1" customHeight="1" outlineLevel="2" x14ac:dyDescent="0.25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t="15" hidden="1" customHeight="1" outlineLevel="2" x14ac:dyDescent="0.25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t="15" hidden="1" customHeight="1" outlineLevel="2" x14ac:dyDescent="0.25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t="15" hidden="1" customHeight="1" outlineLevel="2" x14ac:dyDescent="0.25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t="15" hidden="1" customHeight="1" outlineLevel="2" x14ac:dyDescent="0.25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t="15" hidden="1" customHeight="1" outlineLevel="2" x14ac:dyDescent="0.25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t="15" hidden="1" customHeight="1" outlineLevel="2" x14ac:dyDescent="0.25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25">
      <c r="A643" s="8" t="s">
        <v>1315</v>
      </c>
      <c r="E643">
        <f>SUBTOTAL(1,E574:E642)</f>
        <v>106.72463768115942</v>
      </c>
    </row>
    <row r="644" spans="1:7" ht="15" hidden="1" customHeight="1" outlineLevel="2" x14ac:dyDescent="0.25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t="15" hidden="1" customHeight="1" outlineLevel="2" x14ac:dyDescent="0.25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t="15" hidden="1" customHeight="1" outlineLevel="2" x14ac:dyDescent="0.25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t="15" hidden="1" customHeight="1" outlineLevel="2" x14ac:dyDescent="0.25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t="15" hidden="1" customHeight="1" outlineLevel="2" x14ac:dyDescent="0.25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t="15" hidden="1" customHeight="1" outlineLevel="2" x14ac:dyDescent="0.25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t="15" hidden="1" customHeight="1" outlineLevel="2" x14ac:dyDescent="0.25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t="15" hidden="1" customHeight="1" outlineLevel="2" x14ac:dyDescent="0.25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t="15" hidden="1" customHeight="1" outlineLevel="2" x14ac:dyDescent="0.25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t="15" hidden="1" customHeight="1" outlineLevel="2" x14ac:dyDescent="0.25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t="15" hidden="1" customHeight="1" outlineLevel="2" x14ac:dyDescent="0.25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t="15" hidden="1" customHeight="1" outlineLevel="2" x14ac:dyDescent="0.25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t="15" hidden="1" customHeight="1" outlineLevel="2" x14ac:dyDescent="0.25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t="15" hidden="1" customHeight="1" outlineLevel="2" x14ac:dyDescent="0.25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t="15" hidden="1" customHeight="1" outlineLevel="2" x14ac:dyDescent="0.25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t="15" hidden="1" customHeight="1" outlineLevel="2" x14ac:dyDescent="0.25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t="15" hidden="1" customHeight="1" outlineLevel="2" x14ac:dyDescent="0.25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t="15" hidden="1" customHeight="1" outlineLevel="2" x14ac:dyDescent="0.25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25">
      <c r="A662" s="8" t="s">
        <v>1316</v>
      </c>
      <c r="E662">
        <f>SUBTOTAL(1,E644:E661)</f>
        <v>131.5</v>
      </c>
    </row>
    <row r="663" spans="1:7" ht="15" hidden="1" customHeight="1" outlineLevel="2" x14ac:dyDescent="0.25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t="15" hidden="1" customHeight="1" outlineLevel="2" x14ac:dyDescent="0.25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t="15" hidden="1" customHeight="1" outlineLevel="2" x14ac:dyDescent="0.25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t="15" hidden="1" customHeight="1" outlineLevel="2" x14ac:dyDescent="0.25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t="15" hidden="1" customHeight="1" outlineLevel="2" x14ac:dyDescent="0.25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t="15" hidden="1" customHeight="1" outlineLevel="2" x14ac:dyDescent="0.25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t="15" hidden="1" customHeight="1" outlineLevel="2" x14ac:dyDescent="0.25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t="15" hidden="1" customHeight="1" outlineLevel="2" x14ac:dyDescent="0.25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t="15" hidden="1" customHeight="1" outlineLevel="2" x14ac:dyDescent="0.25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t="15" hidden="1" customHeight="1" outlineLevel="2" x14ac:dyDescent="0.25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t="15" hidden="1" customHeight="1" outlineLevel="2" x14ac:dyDescent="0.25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t="15" hidden="1" customHeight="1" outlineLevel="2" x14ac:dyDescent="0.25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t="15" hidden="1" customHeight="1" outlineLevel="2" x14ac:dyDescent="0.25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t="15" hidden="1" customHeight="1" outlineLevel="2" x14ac:dyDescent="0.25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t="15" hidden="1" customHeight="1" outlineLevel="2" x14ac:dyDescent="0.25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t="15" hidden="1" customHeight="1" outlineLevel="2" x14ac:dyDescent="0.25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t="15" hidden="1" customHeight="1" outlineLevel="2" x14ac:dyDescent="0.25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t="15" hidden="1" customHeight="1" outlineLevel="2" x14ac:dyDescent="0.25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t="15" hidden="1" customHeight="1" outlineLevel="2" x14ac:dyDescent="0.25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t="15" hidden="1" customHeight="1" outlineLevel="2" x14ac:dyDescent="0.25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t="15" hidden="1" customHeight="1" outlineLevel="2" x14ac:dyDescent="0.25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t="15" hidden="1" customHeight="1" outlineLevel="2" x14ac:dyDescent="0.25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t="15" hidden="1" customHeight="1" outlineLevel="2" x14ac:dyDescent="0.25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t="15" hidden="1" customHeight="1" outlineLevel="2" x14ac:dyDescent="0.25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t="15" hidden="1" customHeight="1" outlineLevel="2" x14ac:dyDescent="0.25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t="15" hidden="1" customHeight="1" outlineLevel="2" x14ac:dyDescent="0.25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t="15" hidden="1" customHeight="1" outlineLevel="2" x14ac:dyDescent="0.25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t="15" hidden="1" customHeight="1" outlineLevel="2" x14ac:dyDescent="0.25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t="15" hidden="1" customHeight="1" outlineLevel="2" x14ac:dyDescent="0.25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t="15" hidden="1" customHeight="1" outlineLevel="2" x14ac:dyDescent="0.25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t="15" hidden="1" customHeight="1" outlineLevel="2" x14ac:dyDescent="0.25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t="15" hidden="1" customHeight="1" outlineLevel="2" x14ac:dyDescent="0.25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t="15" hidden="1" customHeight="1" outlineLevel="2" x14ac:dyDescent="0.25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t="15" hidden="1" customHeight="1" outlineLevel="2" x14ac:dyDescent="0.25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t="15" hidden="1" customHeight="1" outlineLevel="2" x14ac:dyDescent="0.25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t="15" hidden="1" customHeight="1" outlineLevel="2" x14ac:dyDescent="0.25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t="15" hidden="1" customHeight="1" outlineLevel="2" x14ac:dyDescent="0.25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t="15" hidden="1" customHeight="1" outlineLevel="2" x14ac:dyDescent="0.25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t="15" hidden="1" customHeight="1" outlineLevel="2" x14ac:dyDescent="0.25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t="15" hidden="1" customHeight="1" outlineLevel="2" x14ac:dyDescent="0.25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t="15" hidden="1" customHeight="1" outlineLevel="2" x14ac:dyDescent="0.25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t="15" hidden="1" customHeight="1" outlineLevel="2" x14ac:dyDescent="0.25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t="15" hidden="1" customHeight="1" outlineLevel="2" x14ac:dyDescent="0.25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t="15" hidden="1" customHeight="1" outlineLevel="2" x14ac:dyDescent="0.25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t="15" hidden="1" customHeight="1" outlineLevel="2" x14ac:dyDescent="0.25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t="15" hidden="1" customHeight="1" outlineLevel="2" x14ac:dyDescent="0.25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t="15" hidden="1" customHeight="1" outlineLevel="2" x14ac:dyDescent="0.25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t="15" hidden="1" customHeight="1" outlineLevel="2" x14ac:dyDescent="0.25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t="15" hidden="1" customHeight="1" outlineLevel="2" x14ac:dyDescent="0.25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t="15" hidden="1" customHeight="1" outlineLevel="2" x14ac:dyDescent="0.25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t="15" hidden="1" customHeight="1" outlineLevel="2" x14ac:dyDescent="0.25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t="15" hidden="1" customHeight="1" outlineLevel="2" x14ac:dyDescent="0.25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t="15" hidden="1" customHeight="1" outlineLevel="2" x14ac:dyDescent="0.25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t="15" hidden="1" customHeight="1" outlineLevel="2" x14ac:dyDescent="0.25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t="15" hidden="1" customHeight="1" outlineLevel="2" x14ac:dyDescent="0.25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t="15" hidden="1" customHeight="1" outlineLevel="2" x14ac:dyDescent="0.25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t="15" hidden="1" customHeight="1" outlineLevel="2" x14ac:dyDescent="0.25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t="15" hidden="1" customHeight="1" outlineLevel="2" x14ac:dyDescent="0.25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t="15" hidden="1" customHeight="1" outlineLevel="2" x14ac:dyDescent="0.25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t="15" hidden="1" customHeight="1" outlineLevel="2" x14ac:dyDescent="0.25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t="15" hidden="1" customHeight="1" outlineLevel="2" x14ac:dyDescent="0.25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t="15" hidden="1" customHeight="1" outlineLevel="2" x14ac:dyDescent="0.25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t="15" hidden="1" customHeight="1" outlineLevel="2" x14ac:dyDescent="0.25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t="15" hidden="1" customHeight="1" outlineLevel="2" x14ac:dyDescent="0.25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t="15" hidden="1" customHeight="1" outlineLevel="2" x14ac:dyDescent="0.25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t="15" hidden="1" customHeight="1" outlineLevel="2" x14ac:dyDescent="0.25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t="15" hidden="1" customHeight="1" outlineLevel="2" x14ac:dyDescent="0.25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t="15" hidden="1" customHeight="1" outlineLevel="2" x14ac:dyDescent="0.25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t="15" hidden="1" customHeight="1" outlineLevel="2" x14ac:dyDescent="0.25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t="15" hidden="1" customHeight="1" outlineLevel="2" x14ac:dyDescent="0.25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t="15" hidden="1" customHeight="1" outlineLevel="2" x14ac:dyDescent="0.25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t="15" hidden="1" customHeight="1" outlineLevel="2" x14ac:dyDescent="0.25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t="15" hidden="1" customHeight="1" outlineLevel="2" x14ac:dyDescent="0.25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t="15" hidden="1" customHeight="1" outlineLevel="2" x14ac:dyDescent="0.25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t="15" hidden="1" customHeight="1" outlineLevel="2" x14ac:dyDescent="0.25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t="15" hidden="1" customHeight="1" outlineLevel="2" x14ac:dyDescent="0.25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t="15" hidden="1" customHeight="1" outlineLevel="2" x14ac:dyDescent="0.25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t="15" hidden="1" customHeight="1" outlineLevel="2" x14ac:dyDescent="0.25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t="15" hidden="1" customHeight="1" outlineLevel="2" x14ac:dyDescent="0.25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t="15" hidden="1" customHeight="1" outlineLevel="2" x14ac:dyDescent="0.25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t="15" hidden="1" customHeight="1" outlineLevel="2" x14ac:dyDescent="0.25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t="15" hidden="1" customHeight="1" outlineLevel="2" x14ac:dyDescent="0.25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t="15" hidden="1" customHeight="1" outlineLevel="2" x14ac:dyDescent="0.25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t="15" hidden="1" customHeight="1" outlineLevel="2" x14ac:dyDescent="0.25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t="15" hidden="1" customHeight="1" outlineLevel="2" x14ac:dyDescent="0.25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t="15" hidden="1" customHeight="1" outlineLevel="2" x14ac:dyDescent="0.25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t="15" hidden="1" customHeight="1" outlineLevel="2" x14ac:dyDescent="0.25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t="15" hidden="1" customHeight="1" outlineLevel="2" x14ac:dyDescent="0.25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t="15" hidden="1" customHeight="1" outlineLevel="2" x14ac:dyDescent="0.25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t="15" hidden="1" customHeight="1" outlineLevel="2" x14ac:dyDescent="0.25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t="15" hidden="1" customHeight="1" outlineLevel="2" x14ac:dyDescent="0.25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t="15" hidden="1" customHeight="1" outlineLevel="2" x14ac:dyDescent="0.25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t="15" hidden="1" customHeight="1" outlineLevel="2" x14ac:dyDescent="0.25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t="15" hidden="1" customHeight="1" outlineLevel="2" x14ac:dyDescent="0.25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t="15" hidden="1" customHeight="1" outlineLevel="2" x14ac:dyDescent="0.25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t="15" hidden="1" customHeight="1" outlineLevel="2" x14ac:dyDescent="0.25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t="15" hidden="1" customHeight="1" outlineLevel="2" x14ac:dyDescent="0.25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t="15" hidden="1" customHeight="1" outlineLevel="2" x14ac:dyDescent="0.25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t="15" hidden="1" customHeight="1" outlineLevel="2" x14ac:dyDescent="0.25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t="15" hidden="1" customHeight="1" outlineLevel="2" x14ac:dyDescent="0.25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t="15" hidden="1" customHeight="1" outlineLevel="2" x14ac:dyDescent="0.25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t="15" hidden="1" customHeight="1" outlineLevel="2" x14ac:dyDescent="0.25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t="15" hidden="1" customHeight="1" outlineLevel="2" x14ac:dyDescent="0.25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t="15" hidden="1" customHeight="1" outlineLevel="2" x14ac:dyDescent="0.25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t="15" hidden="1" customHeight="1" outlineLevel="2" x14ac:dyDescent="0.25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t="15" hidden="1" customHeight="1" outlineLevel="2" x14ac:dyDescent="0.25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t="15" hidden="1" customHeight="1" outlineLevel="2" x14ac:dyDescent="0.25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t="15" hidden="1" customHeight="1" outlineLevel="2" x14ac:dyDescent="0.25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t="15" hidden="1" customHeight="1" outlineLevel="2" x14ac:dyDescent="0.25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t="15" hidden="1" customHeight="1" outlineLevel="2" x14ac:dyDescent="0.25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t="15" hidden="1" customHeight="1" outlineLevel="2" x14ac:dyDescent="0.25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t="15" hidden="1" customHeight="1" outlineLevel="2" x14ac:dyDescent="0.25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t="15" hidden="1" customHeight="1" outlineLevel="2" x14ac:dyDescent="0.25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t="15" hidden="1" customHeight="1" outlineLevel="2" x14ac:dyDescent="0.25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t="15" hidden="1" customHeight="1" outlineLevel="2" x14ac:dyDescent="0.25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t="15" hidden="1" customHeight="1" outlineLevel="2" x14ac:dyDescent="0.25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t="15" hidden="1" customHeight="1" outlineLevel="2" x14ac:dyDescent="0.25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t="15" hidden="1" customHeight="1" outlineLevel="2" x14ac:dyDescent="0.25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t="15" hidden="1" customHeight="1" outlineLevel="2" x14ac:dyDescent="0.25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t="15" hidden="1" customHeight="1" outlineLevel="2" x14ac:dyDescent="0.25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t="15" hidden="1" customHeight="1" outlineLevel="2" x14ac:dyDescent="0.25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t="15" hidden="1" customHeight="1" outlineLevel="2" x14ac:dyDescent="0.25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t="15" hidden="1" customHeight="1" outlineLevel="2" x14ac:dyDescent="0.25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t="15" hidden="1" customHeight="1" outlineLevel="2" x14ac:dyDescent="0.25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t="15" hidden="1" customHeight="1" outlineLevel="2" x14ac:dyDescent="0.25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t="15" hidden="1" customHeight="1" outlineLevel="2" x14ac:dyDescent="0.25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t="15" hidden="1" customHeight="1" outlineLevel="2" x14ac:dyDescent="0.25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t="15" hidden="1" customHeight="1" outlineLevel="2" x14ac:dyDescent="0.25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t="15" hidden="1" customHeight="1" outlineLevel="2" x14ac:dyDescent="0.25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t="15" hidden="1" customHeight="1" outlineLevel="2" x14ac:dyDescent="0.25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t="15" hidden="1" customHeight="1" outlineLevel="2" x14ac:dyDescent="0.25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t="15" hidden="1" customHeight="1" outlineLevel="2" x14ac:dyDescent="0.25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t="15" hidden="1" customHeight="1" outlineLevel="2" x14ac:dyDescent="0.25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t="15" hidden="1" customHeight="1" outlineLevel="2" x14ac:dyDescent="0.25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t="15" hidden="1" customHeight="1" outlineLevel="2" x14ac:dyDescent="0.25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t="15" hidden="1" customHeight="1" outlineLevel="2" x14ac:dyDescent="0.25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t="15" hidden="1" customHeight="1" outlineLevel="2" x14ac:dyDescent="0.25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t="15" hidden="1" customHeight="1" outlineLevel="2" x14ac:dyDescent="0.25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t="15" hidden="1" customHeight="1" outlineLevel="2" x14ac:dyDescent="0.25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t="15" hidden="1" customHeight="1" outlineLevel="2" x14ac:dyDescent="0.25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t="15" hidden="1" customHeight="1" outlineLevel="2" x14ac:dyDescent="0.25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t="15" hidden="1" customHeight="1" outlineLevel="2" x14ac:dyDescent="0.25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t="15" hidden="1" customHeight="1" outlineLevel="2" x14ac:dyDescent="0.25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t="15" hidden="1" customHeight="1" outlineLevel="2" x14ac:dyDescent="0.25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t="15" hidden="1" customHeight="1" outlineLevel="2" x14ac:dyDescent="0.25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t="15" hidden="1" customHeight="1" outlineLevel="2" x14ac:dyDescent="0.25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t="15" hidden="1" customHeight="1" outlineLevel="2" x14ac:dyDescent="0.25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t="15" hidden="1" customHeight="1" outlineLevel="2" x14ac:dyDescent="0.25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t="15" hidden="1" customHeight="1" outlineLevel="2" x14ac:dyDescent="0.25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t="15" hidden="1" customHeight="1" outlineLevel="2" x14ac:dyDescent="0.25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t="15" hidden="1" customHeight="1" outlineLevel="2" x14ac:dyDescent="0.25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t="15" hidden="1" customHeight="1" outlineLevel="2" x14ac:dyDescent="0.25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t="15" hidden="1" customHeight="1" outlineLevel="2" x14ac:dyDescent="0.25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t="15" hidden="1" customHeight="1" outlineLevel="2" x14ac:dyDescent="0.25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t="15" hidden="1" customHeight="1" outlineLevel="2" x14ac:dyDescent="0.25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t="15" hidden="1" customHeight="1" outlineLevel="2" x14ac:dyDescent="0.25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t="15" hidden="1" customHeight="1" outlineLevel="2" x14ac:dyDescent="0.25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t="15" hidden="1" customHeight="1" outlineLevel="2" x14ac:dyDescent="0.25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t="15" hidden="1" customHeight="1" outlineLevel="2" x14ac:dyDescent="0.25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t="15" hidden="1" customHeight="1" outlineLevel="2" x14ac:dyDescent="0.25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t="15" hidden="1" customHeight="1" outlineLevel="2" x14ac:dyDescent="0.25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t="15" hidden="1" customHeight="1" outlineLevel="2" x14ac:dyDescent="0.25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t="15" hidden="1" customHeight="1" outlineLevel="2" x14ac:dyDescent="0.25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t="15" hidden="1" customHeight="1" outlineLevel="2" x14ac:dyDescent="0.25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t="15" hidden="1" customHeight="1" outlineLevel="2" x14ac:dyDescent="0.25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t="15" hidden="1" customHeight="1" outlineLevel="2" x14ac:dyDescent="0.25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t="15" hidden="1" customHeight="1" outlineLevel="2" x14ac:dyDescent="0.25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t="15" hidden="1" customHeight="1" outlineLevel="2" x14ac:dyDescent="0.25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t="15" hidden="1" customHeight="1" outlineLevel="2" x14ac:dyDescent="0.25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t="15" hidden="1" customHeight="1" outlineLevel="2" x14ac:dyDescent="0.25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t="15" hidden="1" customHeight="1" outlineLevel="2" x14ac:dyDescent="0.25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t="15" hidden="1" customHeight="1" outlineLevel="2" x14ac:dyDescent="0.25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t="15" hidden="1" customHeight="1" outlineLevel="2" x14ac:dyDescent="0.25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t="15" hidden="1" customHeight="1" outlineLevel="2" x14ac:dyDescent="0.25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25">
      <c r="A837" s="8" t="s">
        <v>1317</v>
      </c>
      <c r="E837">
        <f>SUBTOTAL(1,E663:E836)</f>
        <v>93.431034482758619</v>
      </c>
    </row>
    <row r="838" spans="1:7" ht="15" hidden="1" customHeight="1" outlineLevel="2" x14ac:dyDescent="0.25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t="15" hidden="1" customHeight="1" outlineLevel="2" x14ac:dyDescent="0.25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t="15" hidden="1" customHeight="1" outlineLevel="2" x14ac:dyDescent="0.25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25">
      <c r="A841" s="8" t="s">
        <v>1318</v>
      </c>
      <c r="E841">
        <f>SUBTOTAL(1,E838:E840)</f>
        <v>129.66666666666666</v>
      </c>
    </row>
    <row r="842" spans="1:7" ht="15" hidden="1" customHeight="1" outlineLevel="2" x14ac:dyDescent="0.25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t="15" hidden="1" customHeight="1" outlineLevel="2" x14ac:dyDescent="0.25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t="15" hidden="1" customHeight="1" outlineLevel="2" x14ac:dyDescent="0.25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t="15" hidden="1" customHeight="1" outlineLevel="2" x14ac:dyDescent="0.25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t="15" hidden="1" customHeight="1" outlineLevel="2" x14ac:dyDescent="0.25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t="15" hidden="1" customHeight="1" outlineLevel="2" x14ac:dyDescent="0.25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25">
      <c r="A848" s="8" t="s">
        <v>1319</v>
      </c>
      <c r="E848">
        <f>SUBTOTAL(1,E842:E847)</f>
        <v>70.166666666666671</v>
      </c>
    </row>
    <row r="849" spans="1:7" ht="15" hidden="1" customHeight="1" outlineLevel="2" x14ac:dyDescent="0.25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t="15" hidden="1" customHeight="1" outlineLevel="2" x14ac:dyDescent="0.25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t="15" hidden="1" customHeight="1" outlineLevel="2" x14ac:dyDescent="0.25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t="15" hidden="1" customHeight="1" outlineLevel="2" x14ac:dyDescent="0.25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25">
      <c r="A853" s="8" t="s">
        <v>1320</v>
      </c>
      <c r="E853">
        <f>SUBTOTAL(1,E849:E852)</f>
        <v>130.75</v>
      </c>
    </row>
    <row r="854" spans="1:7" ht="15" hidden="1" customHeight="1" outlineLevel="2" x14ac:dyDescent="0.25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t="15" hidden="1" customHeight="1" outlineLevel="2" x14ac:dyDescent="0.25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t="15" hidden="1" customHeight="1" outlineLevel="2" x14ac:dyDescent="0.25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t="15" hidden="1" customHeight="1" outlineLevel="2" x14ac:dyDescent="0.25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t="15" hidden="1" customHeight="1" outlineLevel="2" x14ac:dyDescent="0.25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t="15" hidden="1" customHeight="1" outlineLevel="2" x14ac:dyDescent="0.25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t="15" hidden="1" customHeight="1" outlineLevel="2" x14ac:dyDescent="0.25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t="15" hidden="1" customHeight="1" outlineLevel="2" x14ac:dyDescent="0.25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25">
      <c r="A862" s="8" t="s">
        <v>1321</v>
      </c>
      <c r="E862">
        <f>SUBTOTAL(1,E854:E861)</f>
        <v>98.125</v>
      </c>
    </row>
    <row r="863" spans="1:7" ht="15" hidden="1" customHeight="1" outlineLevel="2" x14ac:dyDescent="0.25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t="15" hidden="1" customHeight="1" outlineLevel="2" x14ac:dyDescent="0.25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25">
      <c r="A865" s="8" t="s">
        <v>1322</v>
      </c>
      <c r="E865">
        <f>SUBTOTAL(1,E863:E864)</f>
        <v>101</v>
      </c>
    </row>
    <row r="866" spans="1:7" ht="15" hidden="1" customHeight="1" outlineLevel="2" x14ac:dyDescent="0.25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t="15" hidden="1" customHeight="1" outlineLevel="2" x14ac:dyDescent="0.25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t="15" hidden="1" customHeight="1" outlineLevel="2" x14ac:dyDescent="0.25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t="15" hidden="1" customHeight="1" outlineLevel="2" x14ac:dyDescent="0.25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t="15" hidden="1" customHeight="1" outlineLevel="2" x14ac:dyDescent="0.25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t="15" hidden="1" customHeight="1" outlineLevel="2" x14ac:dyDescent="0.25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t="15" hidden="1" customHeight="1" outlineLevel="2" x14ac:dyDescent="0.25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t="15" hidden="1" customHeight="1" outlineLevel="2" x14ac:dyDescent="0.25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t="15" hidden="1" customHeight="1" outlineLevel="2" x14ac:dyDescent="0.25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t="15" hidden="1" customHeight="1" outlineLevel="2" x14ac:dyDescent="0.25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t="15" hidden="1" customHeight="1" outlineLevel="2" x14ac:dyDescent="0.25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t="15" hidden="1" customHeight="1" outlineLevel="2" x14ac:dyDescent="0.25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t="15" hidden="1" customHeight="1" outlineLevel="2" x14ac:dyDescent="0.25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t="15" hidden="1" customHeight="1" outlineLevel="2" x14ac:dyDescent="0.25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t="15" hidden="1" customHeight="1" outlineLevel="2" x14ac:dyDescent="0.25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t="15" hidden="1" customHeight="1" outlineLevel="2" x14ac:dyDescent="0.25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t="15" hidden="1" customHeight="1" outlineLevel="2" x14ac:dyDescent="0.25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t="15" hidden="1" customHeight="1" outlineLevel="2" x14ac:dyDescent="0.25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t="15" hidden="1" customHeight="1" outlineLevel="2" x14ac:dyDescent="0.25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t="15" hidden="1" customHeight="1" outlineLevel="2" x14ac:dyDescent="0.25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t="15" hidden="1" customHeight="1" outlineLevel="2" x14ac:dyDescent="0.25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t="15" hidden="1" customHeight="1" outlineLevel="2" x14ac:dyDescent="0.25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t="15" hidden="1" customHeight="1" outlineLevel="2" x14ac:dyDescent="0.25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t="15" hidden="1" customHeight="1" outlineLevel="2" x14ac:dyDescent="0.25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t="15" hidden="1" customHeight="1" outlineLevel="2" x14ac:dyDescent="0.25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t="15" hidden="1" customHeight="1" outlineLevel="2" x14ac:dyDescent="0.25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t="15" hidden="1" customHeight="1" outlineLevel="2" x14ac:dyDescent="0.25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t="15" hidden="1" customHeight="1" outlineLevel="2" x14ac:dyDescent="0.25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t="15" hidden="1" customHeight="1" outlineLevel="2" x14ac:dyDescent="0.25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t="15" hidden="1" customHeight="1" outlineLevel="2" x14ac:dyDescent="0.25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t="15" hidden="1" customHeight="1" outlineLevel="2" x14ac:dyDescent="0.25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t="15" hidden="1" customHeight="1" outlineLevel="2" x14ac:dyDescent="0.25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t="15" hidden="1" customHeight="1" outlineLevel="2" x14ac:dyDescent="0.25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t="15" hidden="1" customHeight="1" outlineLevel="2" x14ac:dyDescent="0.25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t="15" hidden="1" customHeight="1" outlineLevel="2" x14ac:dyDescent="0.25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t="15" hidden="1" customHeight="1" outlineLevel="2" x14ac:dyDescent="0.25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t="15" hidden="1" customHeight="1" outlineLevel="2" x14ac:dyDescent="0.25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t="15" hidden="1" customHeight="1" outlineLevel="2" x14ac:dyDescent="0.25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t="15" hidden="1" customHeight="1" outlineLevel="2" x14ac:dyDescent="0.25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t="15" hidden="1" customHeight="1" outlineLevel="2" x14ac:dyDescent="0.25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t="15" hidden="1" customHeight="1" outlineLevel="2" x14ac:dyDescent="0.25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t="15" hidden="1" customHeight="1" outlineLevel="2" x14ac:dyDescent="0.25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t="15" hidden="1" customHeight="1" outlineLevel="2" x14ac:dyDescent="0.25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t="15" hidden="1" customHeight="1" outlineLevel="2" x14ac:dyDescent="0.25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t="15" hidden="1" customHeight="1" outlineLevel="2" x14ac:dyDescent="0.25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t="15" hidden="1" customHeight="1" outlineLevel="2" x14ac:dyDescent="0.25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t="15" hidden="1" customHeight="1" outlineLevel="2" x14ac:dyDescent="0.25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t="15" hidden="1" customHeight="1" outlineLevel="2" x14ac:dyDescent="0.25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t="15" hidden="1" customHeight="1" outlineLevel="2" x14ac:dyDescent="0.25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t="15" hidden="1" customHeight="1" outlineLevel="2" x14ac:dyDescent="0.25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t="15" hidden="1" customHeight="1" outlineLevel="2" x14ac:dyDescent="0.25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t="15" hidden="1" customHeight="1" outlineLevel="2" x14ac:dyDescent="0.25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t="15" hidden="1" customHeight="1" outlineLevel="2" x14ac:dyDescent="0.25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t="15" hidden="1" customHeight="1" outlineLevel="2" x14ac:dyDescent="0.25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t="15" hidden="1" customHeight="1" outlineLevel="2" x14ac:dyDescent="0.25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t="15" hidden="1" customHeight="1" outlineLevel="2" x14ac:dyDescent="0.25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t="15" hidden="1" customHeight="1" outlineLevel="2" x14ac:dyDescent="0.25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t="15" hidden="1" customHeight="1" outlineLevel="2" x14ac:dyDescent="0.25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t="15" hidden="1" customHeight="1" outlineLevel="2" x14ac:dyDescent="0.25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25">
      <c r="A925" s="8" t="s">
        <v>1323</v>
      </c>
      <c r="E925">
        <f>SUBTOTAL(1,E866:E924)</f>
        <v>123.59322033898304</v>
      </c>
    </row>
    <row r="926" spans="1:7" ht="15" hidden="1" customHeight="1" outlineLevel="2" x14ac:dyDescent="0.25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25">
      <c r="A927" s="8" t="s">
        <v>1324</v>
      </c>
      <c r="E927">
        <f>SUBTOTAL(1,E926:E926)</f>
        <v>118</v>
      </c>
    </row>
    <row r="928" spans="1:7" ht="15" hidden="1" customHeight="1" outlineLevel="2" x14ac:dyDescent="0.25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t="15" hidden="1" customHeight="1" outlineLevel="2" x14ac:dyDescent="0.25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t="15" hidden="1" customHeight="1" outlineLevel="2" x14ac:dyDescent="0.25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t="15" hidden="1" customHeight="1" outlineLevel="2" x14ac:dyDescent="0.25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t="15" hidden="1" customHeight="1" outlineLevel="2" x14ac:dyDescent="0.25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t="15" hidden="1" customHeight="1" outlineLevel="2" x14ac:dyDescent="0.25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t="15" hidden="1" customHeight="1" outlineLevel="2" x14ac:dyDescent="0.25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t="15" hidden="1" customHeight="1" outlineLevel="2" x14ac:dyDescent="0.25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t="15" hidden="1" customHeight="1" outlineLevel="2" x14ac:dyDescent="0.25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t="15" hidden="1" customHeight="1" outlineLevel="2" x14ac:dyDescent="0.25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25">
      <c r="A938" s="8" t="s">
        <v>1325</v>
      </c>
      <c r="E938">
        <f>SUBTOTAL(1,E928:E937)</f>
        <v>85.2</v>
      </c>
    </row>
    <row r="939" spans="1:7" ht="15" hidden="1" customHeight="1" outlineLevel="2" x14ac:dyDescent="0.25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t="15" hidden="1" customHeight="1" outlineLevel="2" x14ac:dyDescent="0.25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t="15" hidden="1" customHeight="1" outlineLevel="2" x14ac:dyDescent="0.25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t="15" hidden="1" customHeight="1" outlineLevel="2" x14ac:dyDescent="0.25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t="15" hidden="1" customHeight="1" outlineLevel="2" x14ac:dyDescent="0.25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t="15" hidden="1" customHeight="1" outlineLevel="2" x14ac:dyDescent="0.25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t="15" hidden="1" customHeight="1" outlineLevel="2" x14ac:dyDescent="0.25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t="15" hidden="1" customHeight="1" outlineLevel="2" x14ac:dyDescent="0.25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t="15" hidden="1" customHeight="1" outlineLevel="2" x14ac:dyDescent="0.25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t="15" hidden="1" customHeight="1" outlineLevel="2" x14ac:dyDescent="0.25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t="15" hidden="1" customHeight="1" outlineLevel="2" x14ac:dyDescent="0.25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t="15" hidden="1" customHeight="1" outlineLevel="2" x14ac:dyDescent="0.25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t="15" hidden="1" customHeight="1" outlineLevel="2" x14ac:dyDescent="0.25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t="15" hidden="1" customHeight="1" outlineLevel="2" x14ac:dyDescent="0.25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t="15" hidden="1" customHeight="1" outlineLevel="2" x14ac:dyDescent="0.25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t="15" hidden="1" customHeight="1" outlineLevel="2" x14ac:dyDescent="0.25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t="15" hidden="1" customHeight="1" outlineLevel="2" x14ac:dyDescent="0.25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t="15" hidden="1" customHeight="1" outlineLevel="2" x14ac:dyDescent="0.25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t="15" hidden="1" customHeight="1" outlineLevel="2" x14ac:dyDescent="0.25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t="15" hidden="1" customHeight="1" outlineLevel="2" x14ac:dyDescent="0.25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t="15" hidden="1" customHeight="1" outlineLevel="2" x14ac:dyDescent="0.25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t="15" hidden="1" customHeight="1" outlineLevel="2" x14ac:dyDescent="0.25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t="15" hidden="1" customHeight="1" outlineLevel="2" x14ac:dyDescent="0.25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t="15" hidden="1" customHeight="1" outlineLevel="2" x14ac:dyDescent="0.25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t="15" hidden="1" customHeight="1" outlineLevel="2" x14ac:dyDescent="0.25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t="15" hidden="1" customHeight="1" outlineLevel="2" x14ac:dyDescent="0.25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t="15" hidden="1" customHeight="1" outlineLevel="2" x14ac:dyDescent="0.25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t="15" hidden="1" customHeight="1" outlineLevel="2" x14ac:dyDescent="0.25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t="15" hidden="1" customHeight="1" outlineLevel="2" x14ac:dyDescent="0.25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t="15" hidden="1" customHeight="1" outlineLevel="2" x14ac:dyDescent="0.25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t="15" hidden="1" customHeight="1" outlineLevel="2" x14ac:dyDescent="0.25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t="15" hidden="1" customHeight="1" outlineLevel="2" x14ac:dyDescent="0.25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t="15" hidden="1" customHeight="1" outlineLevel="2" x14ac:dyDescent="0.25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t="15" hidden="1" customHeight="1" outlineLevel="2" x14ac:dyDescent="0.25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t="15" hidden="1" customHeight="1" outlineLevel="2" x14ac:dyDescent="0.25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t="15" hidden="1" customHeight="1" outlineLevel="2" x14ac:dyDescent="0.25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t="15" hidden="1" customHeight="1" outlineLevel="2" x14ac:dyDescent="0.25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t="15" hidden="1" customHeight="1" outlineLevel="2" x14ac:dyDescent="0.25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t="15" hidden="1" customHeight="1" outlineLevel="2" x14ac:dyDescent="0.25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t="15" hidden="1" customHeight="1" outlineLevel="2" x14ac:dyDescent="0.25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t="15" hidden="1" customHeight="1" outlineLevel="2" x14ac:dyDescent="0.25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t="15" hidden="1" customHeight="1" outlineLevel="2" x14ac:dyDescent="0.25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t="15" hidden="1" customHeight="1" outlineLevel="2" x14ac:dyDescent="0.25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t="15" hidden="1" customHeight="1" outlineLevel="2" x14ac:dyDescent="0.25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t="15" hidden="1" customHeight="1" outlineLevel="2" x14ac:dyDescent="0.25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t="15" hidden="1" customHeight="1" outlineLevel="2" x14ac:dyDescent="0.25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t="15" hidden="1" customHeight="1" outlineLevel="2" x14ac:dyDescent="0.25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t="15" hidden="1" customHeight="1" outlineLevel="2" x14ac:dyDescent="0.25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t="15" hidden="1" customHeight="1" outlineLevel="2" x14ac:dyDescent="0.25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t="15" hidden="1" customHeight="1" outlineLevel="2" x14ac:dyDescent="0.25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t="15" hidden="1" customHeight="1" outlineLevel="2" x14ac:dyDescent="0.25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t="15" hidden="1" customHeight="1" outlineLevel="2" x14ac:dyDescent="0.25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t="15" hidden="1" customHeight="1" outlineLevel="2" x14ac:dyDescent="0.25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t="15" hidden="1" customHeight="1" outlineLevel="2" x14ac:dyDescent="0.25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t="15" hidden="1" customHeight="1" outlineLevel="2" x14ac:dyDescent="0.25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t="15" hidden="1" customHeight="1" outlineLevel="2" x14ac:dyDescent="0.25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t="15" hidden="1" customHeight="1" outlineLevel="2" x14ac:dyDescent="0.25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t="15" hidden="1" customHeight="1" outlineLevel="2" x14ac:dyDescent="0.25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t="15" hidden="1" customHeight="1" outlineLevel="2" x14ac:dyDescent="0.25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t="15" hidden="1" customHeight="1" outlineLevel="2" x14ac:dyDescent="0.25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t="15" hidden="1" customHeight="1" outlineLevel="2" x14ac:dyDescent="0.25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t="15" hidden="1" customHeight="1" outlineLevel="2" x14ac:dyDescent="0.25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t="15" hidden="1" customHeight="1" outlineLevel="2" x14ac:dyDescent="0.25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t="15" hidden="1" customHeight="1" outlineLevel="2" x14ac:dyDescent="0.25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t="15" hidden="1" customHeight="1" outlineLevel="2" x14ac:dyDescent="0.25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t="15" hidden="1" customHeight="1" outlineLevel="2" x14ac:dyDescent="0.25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t="15" hidden="1" customHeight="1" outlineLevel="2" x14ac:dyDescent="0.25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t="15" hidden="1" customHeight="1" outlineLevel="2" x14ac:dyDescent="0.25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t="15" hidden="1" customHeight="1" outlineLevel="2" x14ac:dyDescent="0.25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t="15" hidden="1" customHeight="1" outlineLevel="2" x14ac:dyDescent="0.25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t="15" hidden="1" customHeight="1" outlineLevel="2" x14ac:dyDescent="0.25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t="15" hidden="1" customHeight="1" outlineLevel="2" x14ac:dyDescent="0.25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t="15" hidden="1" customHeight="1" outlineLevel="2" x14ac:dyDescent="0.25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t="15" hidden="1" customHeight="1" outlineLevel="2" x14ac:dyDescent="0.25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t="15" hidden="1" customHeight="1" outlineLevel="2" x14ac:dyDescent="0.25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t="15" hidden="1" customHeight="1" outlineLevel="2" x14ac:dyDescent="0.25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t="15" hidden="1" customHeight="1" outlineLevel="2" x14ac:dyDescent="0.25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t="15" hidden="1" customHeight="1" outlineLevel="2" x14ac:dyDescent="0.25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t="15" hidden="1" customHeight="1" outlineLevel="2" x14ac:dyDescent="0.25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t="15" hidden="1" customHeight="1" outlineLevel="2" x14ac:dyDescent="0.25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t="15" hidden="1" customHeight="1" outlineLevel="2" x14ac:dyDescent="0.25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t="15" hidden="1" customHeight="1" outlineLevel="2" x14ac:dyDescent="0.25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t="15" hidden="1" customHeight="1" outlineLevel="2" x14ac:dyDescent="0.25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t="15" hidden="1" customHeight="1" outlineLevel="2" x14ac:dyDescent="0.25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t="15" hidden="1" customHeight="1" outlineLevel="2" x14ac:dyDescent="0.25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t="15" hidden="1" customHeight="1" outlineLevel="2" x14ac:dyDescent="0.25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t="15" hidden="1" customHeight="1" outlineLevel="2" x14ac:dyDescent="0.25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t="15" hidden="1" customHeight="1" outlineLevel="2" x14ac:dyDescent="0.25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t="15" hidden="1" customHeight="1" outlineLevel="2" x14ac:dyDescent="0.25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t="15" hidden="1" customHeight="1" outlineLevel="2" x14ac:dyDescent="0.25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t="15" hidden="1" customHeight="1" outlineLevel="2" x14ac:dyDescent="0.25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t="15" hidden="1" customHeight="1" outlineLevel="2" x14ac:dyDescent="0.25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t="15" hidden="1" customHeight="1" outlineLevel="2" x14ac:dyDescent="0.25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t="15" hidden="1" customHeight="1" outlineLevel="2" x14ac:dyDescent="0.25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t="15" hidden="1" customHeight="1" outlineLevel="2" x14ac:dyDescent="0.25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t="15" hidden="1" customHeight="1" outlineLevel="2" x14ac:dyDescent="0.25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t="15" hidden="1" customHeight="1" outlineLevel="2" x14ac:dyDescent="0.25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t="15" hidden="1" customHeight="1" outlineLevel="2" x14ac:dyDescent="0.25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t="15" hidden="1" customHeight="1" outlineLevel="2" x14ac:dyDescent="0.25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t="15" hidden="1" customHeight="1" outlineLevel="2" x14ac:dyDescent="0.25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t="15" hidden="1" customHeight="1" outlineLevel="2" x14ac:dyDescent="0.25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t="15" hidden="1" customHeight="1" outlineLevel="2" x14ac:dyDescent="0.25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t="15" hidden="1" customHeight="1" outlineLevel="2" x14ac:dyDescent="0.25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t="15" hidden="1" customHeight="1" outlineLevel="2" x14ac:dyDescent="0.25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t="15" hidden="1" customHeight="1" outlineLevel="2" x14ac:dyDescent="0.25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t="15" hidden="1" customHeight="1" outlineLevel="2" x14ac:dyDescent="0.25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t="15" hidden="1" customHeight="1" outlineLevel="2" x14ac:dyDescent="0.25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t="15" hidden="1" customHeight="1" outlineLevel="2" x14ac:dyDescent="0.25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t="15" hidden="1" customHeight="1" outlineLevel="2" x14ac:dyDescent="0.25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t="15" hidden="1" customHeight="1" outlineLevel="2" x14ac:dyDescent="0.25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t="15" hidden="1" customHeight="1" outlineLevel="2" x14ac:dyDescent="0.25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t="15" hidden="1" customHeight="1" outlineLevel="2" x14ac:dyDescent="0.25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t="15" hidden="1" customHeight="1" outlineLevel="2" x14ac:dyDescent="0.25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t="15" hidden="1" customHeight="1" outlineLevel="2" x14ac:dyDescent="0.25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t="15" hidden="1" customHeight="1" outlineLevel="2" x14ac:dyDescent="0.25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t="15" hidden="1" customHeight="1" outlineLevel="2" x14ac:dyDescent="0.25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t="15" hidden="1" customHeight="1" outlineLevel="2" x14ac:dyDescent="0.25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t="15" hidden="1" customHeight="1" outlineLevel="2" x14ac:dyDescent="0.25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t="15" hidden="1" customHeight="1" outlineLevel="2" x14ac:dyDescent="0.25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t="15" hidden="1" customHeight="1" outlineLevel="2" x14ac:dyDescent="0.25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t="15" hidden="1" customHeight="1" outlineLevel="2" x14ac:dyDescent="0.25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t="15" hidden="1" customHeight="1" outlineLevel="2" x14ac:dyDescent="0.25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t="15" hidden="1" customHeight="1" outlineLevel="2" x14ac:dyDescent="0.25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t="15" hidden="1" customHeight="1" outlineLevel="2" x14ac:dyDescent="0.25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t="15" hidden="1" customHeight="1" outlineLevel="2" x14ac:dyDescent="0.25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t="15" hidden="1" customHeight="1" outlineLevel="2" x14ac:dyDescent="0.25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t="15" hidden="1" customHeight="1" outlineLevel="2" x14ac:dyDescent="0.25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25">
      <c r="A1066" s="8" t="s">
        <v>1326</v>
      </c>
      <c r="E1066">
        <f>SUBTOTAL(1,E939:E1065)</f>
        <v>674.62204724409446</v>
      </c>
    </row>
    <row r="1067" spans="1:7" ht="15" hidden="1" customHeight="1" outlineLevel="2" x14ac:dyDescent="0.25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t="15" hidden="1" customHeight="1" outlineLevel="2" x14ac:dyDescent="0.25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t="15" hidden="1" customHeight="1" outlineLevel="2" x14ac:dyDescent="0.25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t="15" hidden="1" customHeight="1" outlineLevel="2" x14ac:dyDescent="0.25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t="15" hidden="1" customHeight="1" outlineLevel="2" x14ac:dyDescent="0.25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t="15" hidden="1" customHeight="1" outlineLevel="2" x14ac:dyDescent="0.25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t="15" hidden="1" customHeight="1" outlineLevel="2" x14ac:dyDescent="0.25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25">
      <c r="A1074" s="8" t="s">
        <v>1327</v>
      </c>
      <c r="E1074">
        <f>SUBTOTAL(1,E1067:E1073)</f>
        <v>105.71428571428571</v>
      </c>
    </row>
    <row r="1075" spans="1:7" ht="15" hidden="1" customHeight="1" outlineLevel="2" x14ac:dyDescent="0.25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t="15" hidden="1" customHeight="1" outlineLevel="2" x14ac:dyDescent="0.25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t="15" hidden="1" customHeight="1" outlineLevel="2" x14ac:dyDescent="0.25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t="15" hidden="1" customHeight="1" outlineLevel="2" x14ac:dyDescent="0.25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t="15" hidden="1" customHeight="1" outlineLevel="2" x14ac:dyDescent="0.25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t="15" hidden="1" customHeight="1" outlineLevel="2" x14ac:dyDescent="0.25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t="15" hidden="1" customHeight="1" outlineLevel="2" x14ac:dyDescent="0.25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t="15" hidden="1" customHeight="1" outlineLevel="2" x14ac:dyDescent="0.25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25">
      <c r="A1083" s="8" t="s">
        <v>1328</v>
      </c>
      <c r="E1083">
        <f>SUBTOTAL(1,E1075:E1082)</f>
        <v>127.25</v>
      </c>
    </row>
    <row r="1084" spans="1:7" ht="15" hidden="1" customHeight="1" outlineLevel="2" x14ac:dyDescent="0.25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t="15" hidden="1" customHeight="1" outlineLevel="2" x14ac:dyDescent="0.25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t="15" hidden="1" customHeight="1" outlineLevel="2" x14ac:dyDescent="0.25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t="15" hidden="1" customHeight="1" outlineLevel="2" x14ac:dyDescent="0.25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t="15" hidden="1" customHeight="1" outlineLevel="2" x14ac:dyDescent="0.25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t="15" hidden="1" customHeight="1" outlineLevel="2" x14ac:dyDescent="0.25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t="15" hidden="1" customHeight="1" outlineLevel="2" x14ac:dyDescent="0.25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t="15" hidden="1" customHeight="1" outlineLevel="2" x14ac:dyDescent="0.25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t="15" hidden="1" customHeight="1" outlineLevel="2" x14ac:dyDescent="0.25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t="15" hidden="1" customHeight="1" outlineLevel="2" x14ac:dyDescent="0.25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t="15" hidden="1" customHeight="1" outlineLevel="2" x14ac:dyDescent="0.25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t="15" hidden="1" customHeight="1" outlineLevel="2" x14ac:dyDescent="0.25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t="15" hidden="1" customHeight="1" outlineLevel="2" x14ac:dyDescent="0.25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t="15" hidden="1" customHeight="1" outlineLevel="2" x14ac:dyDescent="0.25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t="15" hidden="1" customHeight="1" outlineLevel="2" x14ac:dyDescent="0.25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t="15" hidden="1" customHeight="1" outlineLevel="2" x14ac:dyDescent="0.25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t="15" hidden="1" customHeight="1" outlineLevel="2" x14ac:dyDescent="0.25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t="15" hidden="1" customHeight="1" outlineLevel="2" x14ac:dyDescent="0.25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t="15" hidden="1" customHeight="1" outlineLevel="2" x14ac:dyDescent="0.25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t="15" hidden="1" customHeight="1" outlineLevel="2" x14ac:dyDescent="0.25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t="15" hidden="1" customHeight="1" outlineLevel="2" x14ac:dyDescent="0.25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t="15" hidden="1" customHeight="1" outlineLevel="2" x14ac:dyDescent="0.25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t="15" hidden="1" customHeight="1" outlineLevel="2" x14ac:dyDescent="0.25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t="15" hidden="1" customHeight="1" outlineLevel="2" x14ac:dyDescent="0.25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t="15" hidden="1" customHeight="1" outlineLevel="2" x14ac:dyDescent="0.25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t="15" hidden="1" customHeight="1" outlineLevel="2" x14ac:dyDescent="0.25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t="15" hidden="1" customHeight="1" outlineLevel="2" x14ac:dyDescent="0.25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t="15" hidden="1" customHeight="1" outlineLevel="2" x14ac:dyDescent="0.25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t="15" hidden="1" customHeight="1" outlineLevel="2" x14ac:dyDescent="0.25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t="15" hidden="1" customHeight="1" outlineLevel="2" x14ac:dyDescent="0.25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t="15" hidden="1" customHeight="1" outlineLevel="2" x14ac:dyDescent="0.25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t="15" hidden="1" customHeight="1" outlineLevel="2" x14ac:dyDescent="0.25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t="15" hidden="1" customHeight="1" outlineLevel="2" x14ac:dyDescent="0.25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t="15" hidden="1" customHeight="1" outlineLevel="2" x14ac:dyDescent="0.25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t="15" hidden="1" customHeight="1" outlineLevel="2" x14ac:dyDescent="0.25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t="15" hidden="1" customHeight="1" outlineLevel="2" x14ac:dyDescent="0.25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t="15" hidden="1" customHeight="1" outlineLevel="2" x14ac:dyDescent="0.25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t="15" hidden="1" customHeight="1" outlineLevel="2" x14ac:dyDescent="0.25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t="15" hidden="1" customHeight="1" outlineLevel="2" x14ac:dyDescent="0.25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t="15" hidden="1" customHeight="1" outlineLevel="2" x14ac:dyDescent="0.25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t="15" hidden="1" customHeight="1" outlineLevel="2" x14ac:dyDescent="0.25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t="15" hidden="1" customHeight="1" outlineLevel="2" x14ac:dyDescent="0.25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t="15" hidden="1" customHeight="1" outlineLevel="2" x14ac:dyDescent="0.25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t="15" hidden="1" customHeight="1" outlineLevel="2" x14ac:dyDescent="0.25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t="15" hidden="1" customHeight="1" outlineLevel="2" x14ac:dyDescent="0.25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t="15" hidden="1" customHeight="1" outlineLevel="2" x14ac:dyDescent="0.25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t="15" hidden="1" customHeight="1" outlineLevel="2" x14ac:dyDescent="0.25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t="15" hidden="1" customHeight="1" outlineLevel="2" x14ac:dyDescent="0.25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t="15" hidden="1" customHeight="1" outlineLevel="2" x14ac:dyDescent="0.25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t="15" hidden="1" customHeight="1" outlineLevel="2" x14ac:dyDescent="0.25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t="15" hidden="1" customHeight="1" outlineLevel="2" x14ac:dyDescent="0.25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t="15" hidden="1" customHeight="1" outlineLevel="2" x14ac:dyDescent="0.25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t="15" hidden="1" customHeight="1" outlineLevel="2" x14ac:dyDescent="0.25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t="15" hidden="1" customHeight="1" outlineLevel="2" x14ac:dyDescent="0.25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t="15" hidden="1" customHeight="1" outlineLevel="2" x14ac:dyDescent="0.25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t="15" hidden="1" customHeight="1" outlineLevel="2" x14ac:dyDescent="0.25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t="15" hidden="1" customHeight="1" outlineLevel="2" x14ac:dyDescent="0.25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t="15" hidden="1" customHeight="1" outlineLevel="2" x14ac:dyDescent="0.25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t="15" hidden="1" customHeight="1" outlineLevel="2" x14ac:dyDescent="0.25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t="15" hidden="1" customHeight="1" outlineLevel="2" x14ac:dyDescent="0.25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25">
      <c r="A1144" s="8" t="s">
        <v>1329</v>
      </c>
      <c r="E1144">
        <f>SUBTOTAL(1,E1084:E1143)</f>
        <v>89.416666666666671</v>
      </c>
    </row>
    <row r="1145" spans="1:7" ht="15" hidden="1" customHeight="1" outlineLevel="2" x14ac:dyDescent="0.25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t="15" hidden="1" customHeight="1" outlineLevel="2" x14ac:dyDescent="0.25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t="15" hidden="1" customHeight="1" outlineLevel="2" x14ac:dyDescent="0.25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t="15" hidden="1" customHeight="1" outlineLevel="2" x14ac:dyDescent="0.25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t="15" hidden="1" customHeight="1" outlineLevel="2" x14ac:dyDescent="0.25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t="15" hidden="1" customHeight="1" outlineLevel="2" x14ac:dyDescent="0.25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t="15" hidden="1" customHeight="1" outlineLevel="2" x14ac:dyDescent="0.25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t="15" hidden="1" customHeight="1" outlineLevel="2" x14ac:dyDescent="0.25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t="15" hidden="1" customHeight="1" outlineLevel="2" x14ac:dyDescent="0.25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t="15" hidden="1" customHeight="1" outlineLevel="2" x14ac:dyDescent="0.25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t="15" hidden="1" customHeight="1" outlineLevel="2" x14ac:dyDescent="0.25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t="15" hidden="1" customHeight="1" outlineLevel="2" x14ac:dyDescent="0.25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t="15" hidden="1" customHeight="1" outlineLevel="2" x14ac:dyDescent="0.25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t="15" hidden="1" customHeight="1" outlineLevel="2" x14ac:dyDescent="0.25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t="15" hidden="1" customHeight="1" outlineLevel="2" x14ac:dyDescent="0.25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t="15" hidden="1" customHeight="1" outlineLevel="2" x14ac:dyDescent="0.25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t="15" hidden="1" customHeight="1" outlineLevel="2" x14ac:dyDescent="0.25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t="15" hidden="1" customHeight="1" outlineLevel="2" x14ac:dyDescent="0.25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t="15" hidden="1" customHeight="1" outlineLevel="2" x14ac:dyDescent="0.25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t="15" hidden="1" customHeight="1" outlineLevel="2" x14ac:dyDescent="0.25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t="15" hidden="1" customHeight="1" outlineLevel="2" x14ac:dyDescent="0.25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t="15" hidden="1" customHeight="1" outlineLevel="2" x14ac:dyDescent="0.25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t="15" hidden="1" customHeight="1" outlineLevel="2" x14ac:dyDescent="0.25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t="15" hidden="1" customHeight="1" outlineLevel="2" x14ac:dyDescent="0.25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t="15" hidden="1" customHeight="1" outlineLevel="2" x14ac:dyDescent="0.25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t="15" hidden="1" customHeight="1" outlineLevel="2" x14ac:dyDescent="0.25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t="15" hidden="1" customHeight="1" outlineLevel="2" x14ac:dyDescent="0.25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t="15" hidden="1" customHeight="1" outlineLevel="2" x14ac:dyDescent="0.25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t="15" hidden="1" customHeight="1" outlineLevel="2" x14ac:dyDescent="0.25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t="15" hidden="1" customHeight="1" outlineLevel="2" x14ac:dyDescent="0.25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t="15" hidden="1" customHeight="1" outlineLevel="2" x14ac:dyDescent="0.25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t="15" hidden="1" customHeight="1" outlineLevel="2" x14ac:dyDescent="0.25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t="15" hidden="1" customHeight="1" outlineLevel="2" x14ac:dyDescent="0.25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t="15" hidden="1" customHeight="1" outlineLevel="2" x14ac:dyDescent="0.25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t="15" hidden="1" customHeight="1" outlineLevel="2" x14ac:dyDescent="0.25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t="15" hidden="1" customHeight="1" outlineLevel="2" x14ac:dyDescent="0.25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t="15" hidden="1" customHeight="1" outlineLevel="2" x14ac:dyDescent="0.25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t="15" hidden="1" customHeight="1" outlineLevel="2" x14ac:dyDescent="0.25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t="15" hidden="1" customHeight="1" outlineLevel="2" x14ac:dyDescent="0.25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t="15" hidden="1" customHeight="1" outlineLevel="2" x14ac:dyDescent="0.25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t="15" hidden="1" customHeight="1" outlineLevel="2" x14ac:dyDescent="0.25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t="15" hidden="1" customHeight="1" outlineLevel="2" x14ac:dyDescent="0.25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t="15" hidden="1" customHeight="1" outlineLevel="2" x14ac:dyDescent="0.25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t="15" hidden="1" customHeight="1" outlineLevel="2" x14ac:dyDescent="0.25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t="15" hidden="1" customHeight="1" outlineLevel="2" x14ac:dyDescent="0.25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t="15" hidden="1" customHeight="1" outlineLevel="2" x14ac:dyDescent="0.25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25">
      <c r="A1191" s="8" t="s">
        <v>1330</v>
      </c>
      <c r="E1191">
        <f>SUBTOTAL(1,E1145:E1190)</f>
        <v>132.7608695652174</v>
      </c>
    </row>
    <row r="1192" spans="1:7" x14ac:dyDescent="0.25">
      <c r="A1192" s="8" t="s">
        <v>1331</v>
      </c>
      <c r="E1192">
        <f>SUBTOTAL(1,E2:E1190)</f>
        <v>166.36815068493149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D5" sqref="D5"/>
    </sheetView>
  </sheetViews>
  <sheetFormatPr defaultRowHeight="15" x14ac:dyDescent="0.25"/>
  <cols>
    <col min="1" max="1" width="13.28515625" bestFit="1" customWidth="1"/>
  </cols>
  <sheetData>
    <row r="1" spans="1:4" x14ac:dyDescent="0.25">
      <c r="A1" t="s">
        <v>19</v>
      </c>
    </row>
    <row r="2" spans="1:4" x14ac:dyDescent="0.25">
      <c r="A2" t="s">
        <v>1275</v>
      </c>
    </row>
    <row r="3" spans="1:4" x14ac:dyDescent="0.25">
      <c r="A3" t="s">
        <v>1276</v>
      </c>
    </row>
    <row r="4" spans="1:4" x14ac:dyDescent="0.25">
      <c r="A4" t="s">
        <v>1277</v>
      </c>
      <c r="B4" t="s">
        <v>1332</v>
      </c>
    </row>
    <row r="5" spans="1:4" x14ac:dyDescent="0.25">
      <c r="A5" t="s">
        <v>1278</v>
      </c>
      <c r="B5" t="s">
        <v>1333</v>
      </c>
      <c r="D5" t="b">
        <f>AND(EXACT(B5,UPPER(B5)),(LEFT(B5)&gt;="A")*(LEFT(B5)&lt;="Z")*(MID(B5,2,1)&gt;="0")*(MID(B5,2,1)&lt;="9")*(
MID(B5,3,1)&gt;="A")*(MID(B5,3,1)&lt;="Z")*(MID(B5,4,1)&gt;="0")*(MID(B5,4,1)&lt;="9
")*(MID(B5,5,1)&gt;="A")*(MID(B5,5,1)&lt;="Z")*(MID(B5,6,1)&gt;="0")*(MID(B5,6,1)
&lt;="9")*(LEN(B5)=6))</f>
        <v>0</v>
      </c>
    </row>
    <row r="6" spans="1:4" x14ac:dyDescent="0.25">
      <c r="A6" t="s">
        <v>1279</v>
      </c>
    </row>
  </sheetData>
  <dataValidations count="3">
    <dataValidation type="list" errorStyle="information" allowBlank="1" showInputMessage="1" showErrorMessage="1" errorTitle="City Listing" error="Only cities in the are allowed" promptTitle="City Listing" prompt="This company only works in cities provided in the list." sqref="B4">
      <formula1>"St. Catherines, Welland, Thorold"</formula1>
    </dataValidation>
    <dataValidation type="textLength" operator="equal" allowBlank="1" showInputMessage="1" showErrorMessage="1" promptTitle="Postal Code" prompt="No dashes or spaces._x000a_" sqref="E3">
      <formula1>6</formula1>
    </dataValidation>
    <dataValidation type="textLength" errorStyle="information" operator="equal" allowBlank="1" showInputMessage="1" showErrorMessage="1" errorTitle="Postal Code" error="No dashes or spaces allowed." promptTitle="Postal Code" prompt="No dashes or spaces." sqref="B5">
      <formula1>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B24" sqref="B24"/>
    </sheetView>
  </sheetViews>
  <sheetFormatPr defaultRowHeight="15" x14ac:dyDescent="0.25"/>
  <cols>
    <col min="1" max="1" width="10.5703125" customWidth="1"/>
    <col min="2" max="2" width="20" customWidth="1"/>
    <col min="3" max="3" width="10" customWidth="1"/>
    <col min="4" max="4" width="14.140625" customWidth="1"/>
  </cols>
  <sheetData>
    <row r="1" spans="1:4" x14ac:dyDescent="0.25">
      <c r="A1" s="4" t="s">
        <v>19</v>
      </c>
      <c r="B1" s="3" t="s">
        <v>1334</v>
      </c>
    </row>
    <row r="2" spans="1:4" x14ac:dyDescent="0.25">
      <c r="A2" s="4" t="s">
        <v>20</v>
      </c>
      <c r="B2" s="3" t="s">
        <v>1335</v>
      </c>
    </row>
    <row r="3" spans="1:4" x14ac:dyDescent="0.25">
      <c r="A3" s="4" t="s">
        <v>21</v>
      </c>
      <c r="B3" s="3" t="s">
        <v>1336</v>
      </c>
    </row>
    <row r="4" spans="1:4" x14ac:dyDescent="0.25">
      <c r="A4" s="4" t="s">
        <v>22</v>
      </c>
      <c r="B4" s="9">
        <v>100000</v>
      </c>
    </row>
    <row r="14" spans="1:4" x14ac:dyDescent="0.25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25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25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25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25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25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25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25">
      <c r="A21" s="4" t="s">
        <v>19</v>
      </c>
      <c r="B21" s="4" t="s">
        <v>20</v>
      </c>
      <c r="C21" s="4" t="s">
        <v>21</v>
      </c>
      <c r="D21" s="4" t="s">
        <v>22</v>
      </c>
    </row>
    <row r="22" spans="1:4" x14ac:dyDescent="0.25">
      <c r="A22" s="3" t="s">
        <v>1334</v>
      </c>
      <c r="B22" s="3" t="s">
        <v>1335</v>
      </c>
      <c r="C22" s="3" t="s">
        <v>1336</v>
      </c>
      <c r="D22" s="9">
        <v>100000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3"/>
  <sheetViews>
    <sheetView zoomScaleNormal="100" workbookViewId="0">
      <selection activeCell="F3" activeCellId="4" sqref="F18 A2:D2 F2 A3:D3 F3"/>
    </sheetView>
  </sheetViews>
  <sheetFormatPr defaultRowHeight="15" x14ac:dyDescent="0.25"/>
  <cols>
    <col min="1" max="1" width="11" bestFit="1" customWidth="1"/>
    <col min="2" max="2" width="15.85546875" bestFit="1" customWidth="1"/>
    <col min="3" max="3" width="8.7109375" bestFit="1" customWidth="1"/>
    <col min="4" max="4" width="9.5703125" bestFit="1" customWidth="1"/>
    <col min="5" max="5" width="9" bestFit="1" customWidth="1"/>
    <col min="6" max="6" width="31.7109375" bestFit="1" customWidth="1"/>
  </cols>
  <sheetData>
    <row r="1" spans="1:6" x14ac:dyDescent="0.25">
      <c r="A1" s="5" t="s">
        <v>1267</v>
      </c>
      <c r="B1" s="5" t="s">
        <v>1268</v>
      </c>
      <c r="C1" s="5" t="s">
        <v>1269</v>
      </c>
      <c r="D1" s="5" t="s">
        <v>1270</v>
      </c>
      <c r="E1" s="5" t="s">
        <v>1271</v>
      </c>
      <c r="F1" s="5" t="s">
        <v>1272</v>
      </c>
    </row>
    <row r="2" spans="1:6" x14ac:dyDescent="0.25">
      <c r="A2" s="3"/>
      <c r="B2" s="3"/>
      <c r="C2" s="3"/>
      <c r="D2" s="6"/>
      <c r="E2" s="6">
        <f>D2 * C2</f>
        <v>0</v>
      </c>
      <c r="F2" s="3"/>
    </row>
    <row r="3" spans="1:6" x14ac:dyDescent="0.25">
      <c r="A3" s="3"/>
      <c r="B3" s="3"/>
      <c r="C3" s="3"/>
      <c r="D3" s="6"/>
      <c r="E3" s="6">
        <f t="shared" ref="E3:E10" si="0">D3 * C3</f>
        <v>0</v>
      </c>
      <c r="F3" s="3"/>
    </row>
    <row r="4" spans="1:6" x14ac:dyDescent="0.25">
      <c r="A4" s="3"/>
      <c r="B4" s="3"/>
      <c r="C4" s="3"/>
      <c r="D4" s="6"/>
      <c r="E4" s="6">
        <f t="shared" si="0"/>
        <v>0</v>
      </c>
      <c r="F4" s="3"/>
    </row>
    <row r="5" spans="1:6" x14ac:dyDescent="0.25">
      <c r="A5" s="3"/>
      <c r="B5" s="3"/>
      <c r="C5" s="3"/>
      <c r="D5" s="6"/>
      <c r="E5" s="6">
        <f t="shared" si="0"/>
        <v>0</v>
      </c>
      <c r="F5" s="3"/>
    </row>
    <row r="6" spans="1:6" x14ac:dyDescent="0.25">
      <c r="A6" s="3"/>
      <c r="B6" s="3"/>
      <c r="C6" s="3"/>
      <c r="D6" s="6"/>
      <c r="E6" s="6">
        <f t="shared" si="0"/>
        <v>0</v>
      </c>
      <c r="F6" s="3"/>
    </row>
    <row r="7" spans="1:6" x14ac:dyDescent="0.25">
      <c r="A7" s="3"/>
      <c r="B7" s="3"/>
      <c r="C7" s="3"/>
      <c r="D7" s="6"/>
      <c r="E7" s="6">
        <f t="shared" si="0"/>
        <v>0</v>
      </c>
      <c r="F7" s="3"/>
    </row>
    <row r="8" spans="1:6" x14ac:dyDescent="0.25">
      <c r="A8" s="3"/>
      <c r="B8" s="3"/>
      <c r="C8" s="3"/>
      <c r="D8" s="6"/>
      <c r="E8" s="6">
        <f t="shared" si="0"/>
        <v>0</v>
      </c>
      <c r="F8" s="3"/>
    </row>
    <row r="9" spans="1:6" x14ac:dyDescent="0.25">
      <c r="A9" s="3"/>
      <c r="B9" s="3"/>
      <c r="C9" s="3"/>
      <c r="D9" s="6"/>
      <c r="E9" s="6">
        <f t="shared" si="0"/>
        <v>0</v>
      </c>
      <c r="F9" s="3"/>
    </row>
    <row r="10" spans="1:6" x14ac:dyDescent="0.25">
      <c r="A10" s="3"/>
      <c r="B10" s="3"/>
      <c r="C10" s="3"/>
      <c r="D10" s="6"/>
      <c r="E10" s="6">
        <f t="shared" si="0"/>
        <v>0</v>
      </c>
      <c r="F10" s="3"/>
    </row>
    <row r="11" spans="1:6" x14ac:dyDescent="0.25">
      <c r="D11" s="7" t="s">
        <v>1273</v>
      </c>
      <c r="E11" s="6">
        <f>SUM(E2:E10)</f>
        <v>0</v>
      </c>
    </row>
    <row r="12" spans="1:6" x14ac:dyDescent="0.25">
      <c r="D12" s="7" t="s">
        <v>1274</v>
      </c>
      <c r="E12" s="6">
        <f>E11 * 0.13</f>
        <v>0</v>
      </c>
    </row>
    <row r="13" spans="1:6" x14ac:dyDescent="0.25">
      <c r="D13" s="7" t="s">
        <v>1271</v>
      </c>
      <c r="E13" s="6">
        <f>SUM(E11:E12)</f>
        <v>0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2</xdr:col>
                    <xdr:colOff>438150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tabSelected="1" workbookViewId="0">
      <selection activeCell="M65" sqref="M65"/>
    </sheetView>
  </sheetViews>
  <sheetFormatPr defaultRowHeight="15" x14ac:dyDescent="0.25"/>
  <sheetData>
    <row r="1" spans="1:1" x14ac:dyDescent="0.25">
      <c r="A1" t="s">
        <v>1337</v>
      </c>
    </row>
    <row r="5" spans="1:1" x14ac:dyDescent="0.25">
      <c r="A5" t="s">
        <v>1338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zoomScaleNormal="100" workbookViewId="0"/>
  </sheetViews>
  <sheetFormatPr defaultRowHeight="15" x14ac:dyDescent="0.25"/>
  <cols>
    <col min="1" max="1" width="10.5703125" customWidth="1"/>
    <col min="2" max="2" width="20" customWidth="1"/>
    <col min="3" max="3" width="10" customWidth="1"/>
    <col min="4" max="4" width="14.140625" customWidth="1"/>
  </cols>
  <sheetData>
    <row r="1" spans="1:4" x14ac:dyDescent="0.25">
      <c r="A1" s="4" t="s">
        <v>19</v>
      </c>
      <c r="B1" s="3" t="s">
        <v>1342</v>
      </c>
    </row>
    <row r="2" spans="1:4" x14ac:dyDescent="0.25">
      <c r="A2" s="4" t="s">
        <v>20</v>
      </c>
      <c r="B2" s="3" t="s">
        <v>1339</v>
      </c>
    </row>
    <row r="3" spans="1:4" x14ac:dyDescent="0.25">
      <c r="A3" s="4" t="s">
        <v>21</v>
      </c>
      <c r="B3" s="3" t="s">
        <v>1340</v>
      </c>
    </row>
    <row r="4" spans="1:4" x14ac:dyDescent="0.25">
      <c r="A4" s="4" t="s">
        <v>22</v>
      </c>
      <c r="B4" s="9" t="s">
        <v>1341</v>
      </c>
    </row>
    <row r="14" spans="1:4" x14ac:dyDescent="0.25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25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25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25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25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25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25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25">
      <c r="A21" s="3" t="s">
        <v>1334</v>
      </c>
      <c r="B21" s="3" t="s">
        <v>1335</v>
      </c>
      <c r="C21" s="3" t="s">
        <v>1336</v>
      </c>
      <c r="D21" s="9">
        <v>100000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Lab3PartA</vt:lpstr>
      <vt:lpstr>Lab3PartB</vt:lpstr>
      <vt:lpstr>Lab3PartB (2)</vt:lpstr>
      <vt:lpstr>Lab3PartC</vt:lpstr>
      <vt:lpstr>Lab3PartD</vt:lpstr>
      <vt:lpstr>Lab3PartE</vt:lpstr>
      <vt:lpstr>Lab3PartF</vt:lpstr>
      <vt:lpstr>Sheet1</vt:lpstr>
      <vt:lpstr>Sheet2</vt:lpstr>
      <vt:lpstr>Assign3PartA</vt:lpstr>
      <vt:lpstr>Lab3PartB!results</vt:lpstr>
      <vt:lpstr>'Lab3PartB (2)'!results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Kendell</dc:creator>
  <cp:lastModifiedBy>Windows User</cp:lastModifiedBy>
  <dcterms:created xsi:type="dcterms:W3CDTF">2015-04-26T07:46:48Z</dcterms:created>
  <dcterms:modified xsi:type="dcterms:W3CDTF">2016-02-01T19:55:48Z</dcterms:modified>
</cp:coreProperties>
</file>